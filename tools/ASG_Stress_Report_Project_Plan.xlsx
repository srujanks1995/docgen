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aster Plan" sheetId="2" state="visible" r:id="rId4"/>
    <sheet name="UI Tasks" sheetId="3" state="visible" r:id="rId5"/>
    <sheet name="Backend Tasks" sheetId="4" state="visible" r:id="rId6"/>
    <sheet name="API Tasks" sheetId="5" state="visible" r:id="rId7"/>
    <sheet name="LLM &amp; RAG Tasks" sheetId="6" state="visible" r:id="rId8"/>
    <sheet name="Testing &amp; Release" sheetId="7" state="visible" r:id="rId9"/>
    <sheet name="Blockers" sheetId="8" state="visible" r:id="rId10"/>
    <sheet name="Sections Register" sheetId="9" state="visible" r:id="rId11"/>
    <sheet name="Decision Log" sheetId="10" state="visible" r:id="rId12"/>
    <sheet name="Notes" sheetId="11" state="visible" r:id="rId13"/>
  </sheets>
  <definedNames>
    <definedName function="false" hidden="true" localSheetId="4" name="_xlnm._FilterDatabase" vbProcedure="false">'API Tasks'!$A$4:$K$11</definedName>
    <definedName function="false" hidden="true" localSheetId="3" name="_xlnm._FilterDatabase" vbProcedure="false">'Backend Tasks'!$A$4:$K$42</definedName>
    <definedName function="false" hidden="true" localSheetId="9" name="_xlnm._FilterDatabase" vbProcedure="false">'Decision Log'!$A$4:$E$23</definedName>
    <definedName function="false" hidden="true" localSheetId="5" name="_xlnm._FilterDatabase" vbProcedure="false">'LLM &amp; RAG Tasks'!$A$4:$K$14</definedName>
    <definedName function="false" hidden="true" localSheetId="1" name="_xlnm._FilterDatabase" vbProcedure="false">'Master Plan'!$A$4:$P$73</definedName>
    <definedName function="false" hidden="true" localSheetId="8" name="_xlnm._FilterDatabase" vbProcedure="false">'Sections Register'!$A$7:$M$21</definedName>
    <definedName function="false" hidden="true" localSheetId="6" name="_xlnm._FilterDatabase" vbProcedure="false">'Testing &amp; Release'!$A$4:$K$13</definedName>
    <definedName function="false" hidden="true" localSheetId="2" name="_xlnm._FilterDatabase" vbProcedure="false">'UI Tasks'!$A$4:$K$9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Input. Set to 13-Oct-2026 (date of the screenshots). Replace with =TODAY() for a live view.</t>
        </r>
      </text>
    </comment>
  </commentList>
</comments>
</file>

<file path=xl/sharedStrings.xml><?xml version="1.0" encoding="utf-8"?>
<sst xmlns="http://schemas.openxmlformats.org/spreadsheetml/2006/main" count="1009" uniqueCount="435">
  <si>
    <t xml:space="preserve">ASG Stress Report Generation - Project Summary</t>
  </si>
  <si>
    <t xml:space="preserve">As-of date</t>
  </si>
  <si>
    <t xml:space="preserve">&lt;- input (blue); drives Overdue / Due-in-7-days flags</t>
  </si>
  <si>
    <t xml:space="preserve">By Workstream</t>
  </si>
  <si>
    <t xml:space="preserve">Workstream</t>
  </si>
  <si>
    <t xml:space="preserve">Total</t>
  </si>
  <si>
    <t xml:space="preserve">Complete</t>
  </si>
  <si>
    <t xml:space="preserve">In Progress</t>
  </si>
  <si>
    <t xml:space="preserve">Not Started</t>
  </si>
  <si>
    <t xml:space="preserve">Blocked</t>
  </si>
  <si>
    <t xml:space="preserve">Overdue</t>
  </si>
  <si>
    <t xml:space="preserve">Avg % Complete</t>
  </si>
  <si>
    <t xml:space="preserve">UI</t>
  </si>
  <si>
    <t xml:space="preserve">Backend</t>
  </si>
  <si>
    <t xml:space="preserve">API</t>
  </si>
  <si>
    <t xml:space="preserve">LLM &amp; RAG</t>
  </si>
  <si>
    <t xml:space="preserve">Testing &amp; Release</t>
  </si>
  <si>
    <t xml:space="preserve">By Owner</t>
  </si>
  <si>
    <t xml:space="preserve">Owner</t>
  </si>
  <si>
    <t xml:space="preserve">Abhik</t>
  </si>
  <si>
    <t xml:space="preserve">Srujan</t>
  </si>
  <si>
    <t xml:space="preserve">Rajesh</t>
  </si>
  <si>
    <t xml:space="preserve">Srujan, Rajesh, Abhik</t>
  </si>
  <si>
    <t xml:space="preserve">Unassigned</t>
  </si>
  <si>
    <t xml:space="preserve">Check: owner total = workstream total</t>
  </si>
  <si>
    <t xml:space="preserve">Legend: blue = input/editable, green = linked from another sheet, black = formula. Colours in Status / Schedule Flag are conditional.</t>
  </si>
  <si>
    <t xml:space="preserve">Task Origin &amp; Section Coverage</t>
  </si>
  <si>
    <t xml:space="preserve">Item</t>
  </si>
  <si>
    <t xml:space="preserve">Count</t>
  </si>
  <si>
    <t xml:space="preserve">Tasks from Project Plan</t>
  </si>
  <si>
    <t xml:space="preserve">Tasks proposed from SRG Sections</t>
  </si>
  <si>
    <t xml:space="preserve">AR sections (SRG Sections)</t>
  </si>
  <si>
    <t xml:space="preserve">Sections where ASG and ART are NOT aligned</t>
  </si>
  <si>
    <t xml:space="preserve">Sections covered only by proposed tasks</t>
  </si>
  <si>
    <t xml:space="preserve">Sections with no tasks / missing LLM task</t>
  </si>
  <si>
    <t xml:space="preserve">ASG Stress Report Generation - Master Project Plan</t>
  </si>
  <si>
    <t xml:space="preserve">Single source of truth (Project Plan tasks + tasks proposed from SRG Sections - see Origin column). Edit blue cells (Owner, Start, Finish, % Complete, Blocked?, Dependency, Notes). Status, Duration, Schedule Flag, workstream tabs and Summary update automatically. As-of date is set on Summary!C3.</t>
  </si>
  <si>
    <t xml:space="preserve">ID</t>
  </si>
  <si>
    <t xml:space="preserve">Feature / Report Section</t>
  </si>
  <si>
    <t xml:space="preserve">Task</t>
  </si>
  <si>
    <t xml:space="preserve">Start</t>
  </si>
  <si>
    <t xml:space="preserve">Finish</t>
  </si>
  <si>
    <t xml:space="preserve">Duration (days)</t>
  </si>
  <si>
    <t xml:space="preserve">% Complete</t>
  </si>
  <si>
    <t xml:space="preserve">Blocked?</t>
  </si>
  <si>
    <t xml:space="preserve">Status</t>
  </si>
  <si>
    <t xml:space="preserve">Schedule Flag</t>
  </si>
  <si>
    <t xml:space="preserve">Dependency / Blocker</t>
  </si>
  <si>
    <t xml:space="preserve">Source Row</t>
  </si>
  <si>
    <t xml:space="preserve">Notes</t>
  </si>
  <si>
    <t xml:space="preserve">Origin</t>
  </si>
  <si>
    <t xml:space="preserve">T-001</t>
  </si>
  <si>
    <t xml:space="preserve">Project Setup</t>
  </si>
  <si>
    <t xml:space="preserve">UI folder setup and Login</t>
  </si>
  <si>
    <t xml:space="preserve">No</t>
  </si>
  <si>
    <t xml:space="preserve">Project Plan</t>
  </si>
  <si>
    <t xml:space="preserve">T-002</t>
  </si>
  <si>
    <t xml:space="preserve">Header Section</t>
  </si>
  <si>
    <t xml:space="preserve">UI design for collecting Header fields info (Engineer name, Date, Model, Report, Revision version)</t>
  </si>
  <si>
    <t xml:space="preserve">Date field added per SRG Sections (ART suggestion 8/10/26)</t>
  </si>
  <si>
    <t xml:space="preserve">T-003</t>
  </si>
  <si>
    <t xml:space="preserve">Revision Record Table</t>
  </si>
  <si>
    <t xml:space="preserve">UI to collect Revision changes (Revision, Date, Change Description, Approvals)</t>
  </si>
  <si>
    <t xml:space="preserve">Finish date read as 23/16/2026 in source; assumed 23/10/2026. Fields per SRG Sections (first row auto-filled; rest from UI)</t>
  </si>
  <si>
    <t xml:space="preserve">T-004</t>
  </si>
  <si>
    <t xml:space="preserve">Component Description</t>
  </si>
  <si>
    <t xml:space="preserve">UI to capture Program, Component, Loads</t>
  </si>
  <si>
    <t xml:space="preserve">T-005</t>
  </si>
  <si>
    <t xml:space="preserve">FEM Description</t>
  </si>
  <si>
    <t xml:space="preserve">UI for uploading BDF and DAT input files</t>
  </si>
  <si>
    <t xml:space="preserve">SRG-19</t>
  </si>
  <si>
    <t xml:space="preserve">Proposed: input channel for BDF/DAT not specified in source - confirm</t>
  </si>
  <si>
    <t xml:space="preserve">Proposed</t>
  </si>
  <si>
    <t xml:space="preserve">T-006</t>
  </si>
  <si>
    <t xml:space="preserve">Postgres database setup and data model to store login info (local env)</t>
  </si>
  <si>
    <t xml:space="preserve">T-007</t>
  </si>
  <si>
    <t xml:space="preserve">YAML to add Header section in AR</t>
  </si>
  <si>
    <t xml:space="preserve">T-008</t>
  </si>
  <si>
    <t xml:space="preserve">Table of Contents</t>
  </si>
  <si>
    <t xml:space="preserve">YAML to add TOC section in AR</t>
  </si>
  <si>
    <t xml:space="preserve">T-009</t>
  </si>
  <si>
    <t xml:space="preserve">Data model for saving Revision history (only first revision auto-filled; later revisions manual entry)</t>
  </si>
  <si>
    <t xml:space="preserve">Finish date read as 23/16/2026 in source; assumed 23/10/2026</t>
  </si>
  <si>
    <t xml:space="preserve">T-010</t>
  </si>
  <si>
    <t xml:space="preserve">YAML to add Revision table to AR</t>
  </si>
  <si>
    <t xml:space="preserve">T-011</t>
  </si>
  <si>
    <t xml:space="preserve">List of Parts</t>
  </si>
  <si>
    <t xml:space="preserve">Automation to extract List of Parts from BOMSTR</t>
  </si>
  <si>
    <t xml:space="preserve">Yes</t>
  </si>
  <si>
    <t xml:space="preserve">ASG Team to confirm if BOMSTR or Drawing PDF?</t>
  </si>
  <si>
    <t xml:space="preserve">T-012</t>
  </si>
  <si>
    <t xml:space="preserve">Automation/OCR to extract List of Parts from Drawing documents</t>
  </si>
  <si>
    <t xml:space="preserve">ART recommends BOMSTR instead: drawings only have high-level part numbers (no sub-parts) and OCR needs extra processing (8/10/26)</t>
  </si>
  <si>
    <t xml:space="preserve">T-013</t>
  </si>
  <si>
    <t xml:space="preserve">Automation to download PDF from Teamcenter</t>
  </si>
  <si>
    <t xml:space="preserve">ASG Team to provide API access to Teamcenter</t>
  </si>
  <si>
    <t xml:space="preserve">Long-term per ART; Teamcenter API access currently unavailable (8/10/26)</t>
  </si>
  <si>
    <t xml:space="preserve">T-014</t>
  </si>
  <si>
    <t xml:space="preserve">YAML to add List of Parts section in AR</t>
  </si>
  <si>
    <t xml:space="preserve">T-015</t>
  </si>
  <si>
    <t xml:space="preserve">Margin of Safety (MS) Summary</t>
  </si>
  <si>
    <t xml:space="preserve">Automation to extract Location ID</t>
  </si>
  <si>
    <t xml:space="preserve">ASG Team to provide Location ID for analysis (not feasible to extract from CATIA images)</t>
  </si>
  <si>
    <t xml:space="preserve">Feature grouping inferred. CONFLICT: plan says not feasible from CATIA images; SRG Sections (8/10/26) says Location ID will come from CATIA image - confirm with ASG</t>
  </si>
  <si>
    <t xml:space="preserve">T-016</t>
  </si>
  <si>
    <t xml:space="preserve">Automation to extract Part Number, Material, Temp, Applied Condition/Load ID, Applied Load/Stress, Allowable Load/Stress, Failure Mode, MS</t>
  </si>
  <si>
    <t xml:space="preserve">ASG Team to output Part Number, Material, Temp, Load ID, Applied/Allowable Load-Stress, Failure Mode, MS in Excel (confirmed in 5/10/26 meeting)</t>
  </si>
  <si>
    <t xml:space="preserve">MS comes from one-stop stress tool Excel output</t>
  </si>
  <si>
    <t xml:space="preserve">T-017</t>
  </si>
  <si>
    <t xml:space="preserve">Automation to create MOS summary table</t>
  </si>
  <si>
    <t xml:space="preserve">T-018</t>
  </si>
  <si>
    <t xml:space="preserve">YAML to add MOS Summary section in AR</t>
  </si>
  <si>
    <t xml:space="preserve">T-019</t>
  </si>
  <si>
    <t xml:space="preserve">Automation to merge UI and RAG data</t>
  </si>
  <si>
    <t xml:space="preserve">T-020</t>
  </si>
  <si>
    <t xml:space="preserve">Add images to Component Description</t>
  </si>
  <si>
    <t xml:space="preserve">ASG Team to provide Images</t>
  </si>
  <si>
    <t xml:space="preserve">T-021</t>
  </si>
  <si>
    <t xml:space="preserve">YAML to add Component Description section</t>
  </si>
  <si>
    <t xml:space="preserve">T-022</t>
  </si>
  <si>
    <t xml:space="preserve">Loads Section</t>
  </si>
  <si>
    <t xml:space="preserve">Automation to get Loads information from One Stop Stress tool</t>
  </si>
  <si>
    <t xml:space="preserve">ASG Team One Stop Stress tool not ready yet for Loads</t>
  </si>
  <si>
    <t xml:space="preserve">Dependency cell showed 'sr' in source; inferred from adjacent rows</t>
  </si>
  <si>
    <t xml:space="preserve">T-023</t>
  </si>
  <si>
    <t xml:space="preserve">YAML to add Loads section in AR</t>
  </si>
  <si>
    <t xml:space="preserve">T-024</t>
  </si>
  <si>
    <t xml:space="preserve">Add images to Loads section</t>
  </si>
  <si>
    <t xml:space="preserve">T-025</t>
  </si>
  <si>
    <t xml:space="preserve">Static Analysis Section</t>
  </si>
  <si>
    <t xml:space="preserve">Automation to get Static Analysis from One Stop Stress tool</t>
  </si>
  <si>
    <t xml:space="preserve">ASG Team One Stop Stress tool not ready yet for Static Analysis</t>
  </si>
  <si>
    <t xml:space="preserve">T-026</t>
  </si>
  <si>
    <t xml:space="preserve">YAML to add Static Analysis section in AR</t>
  </si>
  <si>
    <t xml:space="preserve">T-027</t>
  </si>
  <si>
    <t xml:space="preserve">Add images to Static Analysis section</t>
  </si>
  <si>
    <t xml:space="preserve">T-028</t>
  </si>
  <si>
    <t xml:space="preserve">Materials (Metallic) Section</t>
  </si>
  <si>
    <t xml:space="preserve">T-029</t>
  </si>
  <si>
    <t xml:space="preserve">T-030</t>
  </si>
  <si>
    <t xml:space="preserve">T-031</t>
  </si>
  <si>
    <t xml:space="preserve">Add images to Materials section</t>
  </si>
  <si>
    <t xml:space="preserve">T-032</t>
  </si>
  <si>
    <t xml:space="preserve">YAML to add Materials section in AR</t>
  </si>
  <si>
    <t xml:space="preserve">T-033</t>
  </si>
  <si>
    <t xml:space="preserve">References Section</t>
  </si>
  <si>
    <t xml:space="preserve">Automation for generating Reference section from previous ARs</t>
  </si>
  <si>
    <t xml:space="preserve">ASG Team to provide list of ESOMS to component Mapping</t>
  </si>
  <si>
    <t xml:space="preserve">ASG agreed (9/7/26) to provide Excel of ESOMs used in component - not received yet</t>
  </si>
  <si>
    <t xml:space="preserve">T-034</t>
  </si>
  <si>
    <t xml:space="preserve">YAML to add Reference section in AR</t>
  </si>
  <si>
    <t xml:space="preserve">T-035</t>
  </si>
  <si>
    <t xml:space="preserve">Fan Cowl AR - Release &amp; Testing</t>
  </si>
  <si>
    <t xml:space="preserve">Generate Report for Fan Cowl AR</t>
  </si>
  <si>
    <t xml:space="preserve">Shown as 100% in source although finish date is 2/12/2026 - please verify</t>
  </si>
  <si>
    <t xml:space="preserve">T-036</t>
  </si>
  <si>
    <t xml:space="preserve">Scope Section</t>
  </si>
  <si>
    <t xml:space="preserve">YAML to add Scope section in AR</t>
  </si>
  <si>
    <t xml:space="preserve">SRG-12</t>
  </si>
  <si>
    <t xml:space="preserve">Proposed from SRG Sections row 12 (Scope not in original plan)</t>
  </si>
  <si>
    <t xml:space="preserve">T-037</t>
  </si>
  <si>
    <t xml:space="preserve">Analysis Checklist</t>
  </si>
  <si>
    <t xml:space="preserve">Automation to build Analysis Checklist from Failure Mode Matrix Excel</t>
  </si>
  <si>
    <t xml:space="preserve">SRG-11</t>
  </si>
  <si>
    <t xml:space="preserve">Proposed. SRG says ART already developed a solution - confirm status / % done</t>
  </si>
  <si>
    <t xml:space="preserve">T-038</t>
  </si>
  <si>
    <t xml:space="preserve">YAML to add Analysis Checklist section in AR</t>
  </si>
  <si>
    <t xml:space="preserve">Proposed from SRG Sections row 11 (not in original plan)</t>
  </si>
  <si>
    <t xml:space="preserve">T-039</t>
  </si>
  <si>
    <t xml:space="preserve">Automation to parse BDF/DAT (component name, element/property/material type, material description, solver, solution type/description, total and excluded elements)</t>
  </si>
  <si>
    <t xml:space="preserve">Proposed from SRG Sections row 19 (FEM not in original plan)</t>
  </si>
  <si>
    <t xml:space="preserve">T-040</t>
  </si>
  <si>
    <t xml:space="preserve">YAML to add FEM Description section in AR</t>
  </si>
  <si>
    <t xml:space="preserve">Proposed from SRG Sections row 19</t>
  </si>
  <si>
    <t xml:space="preserve">T-041</t>
  </si>
  <si>
    <t xml:space="preserve">FEM subsections (Model Setup, Boundary Conditions, Results) and images</t>
  </si>
  <si>
    <t xml:space="preserve">ASG Team to review FEM requirements and clarify which FEM subsections to include (agreed 8/10/26)</t>
  </si>
  <si>
    <t xml:space="preserve">Subsections inconsistent across previous ARs (ART observation 8/10/26)</t>
  </si>
  <si>
    <t xml:space="preserve">T-042</t>
  </si>
  <si>
    <t xml:space="preserve">Appendix</t>
  </si>
  <si>
    <t xml:space="preserve">Automation to populate Appendix from ASG-provided folder</t>
  </si>
  <si>
    <t xml:space="preserve">ASG Team to provide folder with Appendix files (agreed 9/7/26)</t>
  </si>
  <si>
    <t xml:space="preserve">SRG-21</t>
  </si>
  <si>
    <t xml:space="preserve">Assumed folder not yet delivered - confirm</t>
  </si>
  <si>
    <t xml:space="preserve">T-043</t>
  </si>
  <si>
    <t xml:space="preserve">YAML to add Appendix section in AR</t>
  </si>
  <si>
    <t xml:space="preserve">Proposed from SRG Sections row 21 (Appendix not in original plan)</t>
  </si>
  <si>
    <t xml:space="preserve">T-044</t>
  </si>
  <si>
    <t xml:space="preserve">API for login page</t>
  </si>
  <si>
    <t xml:space="preserve">T-045</t>
  </si>
  <si>
    <t xml:space="preserve">API layer folder setup (local env)</t>
  </si>
  <si>
    <t xml:space="preserve">T-046</t>
  </si>
  <si>
    <t xml:space="preserve">API design to add Header fields to Word template</t>
  </si>
  <si>
    <t xml:space="preserve">T-047</t>
  </si>
  <si>
    <t xml:space="preserve">API design to add Revision fields to table</t>
  </si>
  <si>
    <t xml:space="preserve">T-048</t>
  </si>
  <si>
    <t xml:space="preserve">API for reading Failure Mode Matrix spreadsheet</t>
  </si>
  <si>
    <t xml:space="preserve">Not considered - previous ARs will be used</t>
  </si>
  <si>
    <t xml:space="preserve">Descoped per project plan note, BUT SRG Sections says ART developed a Failure Mode Matrix based solution for the Analysis Checklist - reconcile</t>
  </si>
  <si>
    <t xml:space="preserve">T-049</t>
  </si>
  <si>
    <t xml:space="preserve">API to store/serve Program, Component, Loads inputs (shared by Scope and Component Description)</t>
  </si>
  <si>
    <t xml:space="preserve">Proposed: UI capture task exists but no matching API task</t>
  </si>
  <si>
    <t xml:space="preserve">T-050</t>
  </si>
  <si>
    <t xml:space="preserve">API to receive BDF/DAT files and return extracted FEM attributes</t>
  </si>
  <si>
    <t xml:space="preserve">T-051</t>
  </si>
  <si>
    <t xml:space="preserve">RAG to populate Connection Type, Load Path</t>
  </si>
  <si>
    <t xml:space="preserve">T-052</t>
  </si>
  <si>
    <t xml:space="preserve">LLM generation for Component Description</t>
  </si>
  <si>
    <t xml:space="preserve">T-053</t>
  </si>
  <si>
    <t xml:space="preserve">LLM generation for Loads section in AR</t>
  </si>
  <si>
    <t xml:space="preserve">T-054</t>
  </si>
  <si>
    <t xml:space="preserve">LLM generation for Static Analysis section in AR (step-by-step calculation paragraphs)</t>
  </si>
  <si>
    <t xml:space="preserve">T-055</t>
  </si>
  <si>
    <t xml:space="preserve">RAG pipeline testing</t>
  </si>
  <si>
    <t xml:space="preserve">T-056</t>
  </si>
  <si>
    <t xml:space="preserve">Testing LLM-generated text / RAG pipeline</t>
  </si>
  <si>
    <t xml:space="preserve">T-057</t>
  </si>
  <si>
    <t xml:space="preserve">Environment &amp; RAG Setup</t>
  </si>
  <si>
    <t xml:space="preserve">RAG pipeline setup</t>
  </si>
  <si>
    <t xml:space="preserve">Heading only in source (no tasks/dates) - placeholder, please break down</t>
  </si>
  <si>
    <t xml:space="preserve">T-058</t>
  </si>
  <si>
    <t xml:space="preserve">LLM generation for Scope paragraph (from Program, Component, Loads)</t>
  </si>
  <si>
    <t xml:space="preserve">Proposed from SRG Sections row 12 (AI = Yes)</t>
  </si>
  <si>
    <t xml:space="preserve">T-059</t>
  </si>
  <si>
    <t xml:space="preserve">LLM generation for FEM Description (single paragraph from BDF/DAT attributes)</t>
  </si>
  <si>
    <t xml:space="preserve">Automation to parse BDF/DAT</t>
  </si>
  <si>
    <t xml:space="preserve">ASG suggested single paragraph (9/7/26)</t>
  </si>
  <si>
    <t xml:space="preserve">T-060</t>
  </si>
  <si>
    <t xml:space="preserve">LLM generation for Materials section</t>
  </si>
  <si>
    <t xml:space="preserve">SRG-17</t>
  </si>
  <si>
    <t xml:space="preserve">Proposed: SRG marks Materials as AI = Yes but plan had no LLM task. Billet Size remains a limitation with BOMSTR</t>
  </si>
  <si>
    <t xml:space="preserve">T-061</t>
  </si>
  <si>
    <t xml:space="preserve">Deployment of code to pre-prod server</t>
  </si>
  <si>
    <t xml:space="preserve">T-062</t>
  </si>
  <si>
    <t xml:space="preserve">Unit testing</t>
  </si>
  <si>
    <t xml:space="preserve">T-063</t>
  </si>
  <si>
    <t xml:space="preserve">CI/CD pipeline</t>
  </si>
  <si>
    <t xml:space="preserve">T-064</t>
  </si>
  <si>
    <t xml:space="preserve">Documentation</t>
  </si>
  <si>
    <t xml:space="preserve">T-065</t>
  </si>
  <si>
    <t xml:space="preserve">Monitoring and Dashboard</t>
  </si>
  <si>
    <t xml:space="preserve">T-066</t>
  </si>
  <si>
    <t xml:space="preserve">Integration testing</t>
  </si>
  <si>
    <t xml:space="preserve">T-067</t>
  </si>
  <si>
    <t xml:space="preserve">Testing end-to-end program</t>
  </si>
  <si>
    <t xml:space="preserve">T-068</t>
  </si>
  <si>
    <t xml:space="preserve">Environment setup</t>
  </si>
  <si>
    <t xml:space="preserve">T-069</t>
  </si>
  <si>
    <t xml:space="preserve">Validate generated report for all 17 Fan Cowl components</t>
  </si>
  <si>
    <t xml:space="preserve">SRG-3</t>
  </si>
  <si>
    <t xml:space="preserve">Proposed: SRG Sections lists 17 components</t>
  </si>
  <si>
    <t xml:space="preserve">UI Tasks</t>
  </si>
  <si>
    <t xml:space="preserve">Tasks</t>
  </si>
  <si>
    <t xml:space="preserve">Avg % Done</t>
  </si>
  <si>
    <t xml:space="preserve">Linked to 'Master Plan' - edit there, this tab updates automatically.</t>
  </si>
  <si>
    <t xml:space="preserve">Backend Tasks</t>
  </si>
  <si>
    <t xml:space="preserve">API Tasks</t>
  </si>
  <si>
    <t xml:space="preserve">LLM &amp; RAG Tasks</t>
  </si>
  <si>
    <t xml:space="preserve">Testing &amp; Release Tasks</t>
  </si>
  <si>
    <t xml:space="preserve">Blockers &amp; External Dependencies</t>
  </si>
  <si>
    <t xml:space="preserve">Counts are live (matched to Master Plan column M). 'Suggested next step' is a recommendation, not from the source sheet.</t>
  </si>
  <si>
    <t xml:space="preserve">#</t>
  </si>
  <si>
    <t xml:space="preserve">Needed From</t>
  </si>
  <si>
    <t xml:space="preserve">Blocked Tasks</t>
  </si>
  <si>
    <t xml:space="preserve">Affected Features</t>
  </si>
  <si>
    <t xml:space="preserve">Suggested Next Step</t>
  </si>
  <si>
    <t xml:space="preserve">ASG Team</t>
  </si>
  <si>
    <t xml:space="preserve">List of Parts, Materials</t>
  </si>
  <si>
    <t xml:space="preserve">ART recommends BOMSTR (drawings lack sub-parts). Get Design team written confirmation; if BOMSTR is approved, the OCR tasks can be dropped.</t>
  </si>
  <si>
    <t xml:space="preserve">SRG Sections says API access is unavailable and MDX / Material DB access was denied. Treat as long-term; use BOMSTR as workaround.</t>
  </si>
  <si>
    <t xml:space="preserve">Margin of Safety Summary</t>
  </si>
  <si>
    <t xml:space="preserve">Conflicting notes (plan: not feasible from CATIA; SRG 8/10/26: from CATIA image). Get a single answer; prefer a Location ID column in the ASG Excel.</t>
  </si>
  <si>
    <t xml:space="preserve">Obtain the Excel output template/sample from ASG and build parser against it.</t>
  </si>
  <si>
    <t xml:space="preserve">Component Description, Loads, Static Analysis, Materials</t>
  </si>
  <si>
    <t xml:space="preserve">Agree image format/naming and a hand-off location so the 'Add images' tasks can be done in one batch.</t>
  </si>
  <si>
    <t xml:space="preserve">Request ETA for one-stop stress tool Loads output; use a mock JSON to unblock YAML/LLM work.</t>
  </si>
  <si>
    <t xml:space="preserve">Request ETA for Static Analysis output; use a mock payload to unblock YAML/LLM work.</t>
  </si>
  <si>
    <t xml:space="preserve">Request ESOMS-to-component mapping file (agreed 9/7/26, not received yet).</t>
  </si>
  <si>
    <t xml:space="preserve">Ask ASG to confirm which FEM subsections are required; single-paragraph FEM description can proceed meanwhile.</t>
  </si>
  <si>
    <t xml:space="preserve">Request the Appendix files folder (agreed 9/7/26).</t>
  </si>
  <si>
    <t xml:space="preserve">Total can exceed the number of blocked tasks only if a task lists more than one blocker (none currently).</t>
  </si>
  <si>
    <t xml:space="preserve">AR Sections Register (from SRG Sections.xlsx) vs Plan Coverage</t>
  </si>
  <si>
    <t xml:space="preserve">Project description</t>
  </si>
  <si>
    <t xml:space="preserve">Automated tool that generates standardized, professional engineering stress analysis reports for Fancowl Static Analysis.</t>
  </si>
  <si>
    <t xml:space="preserve">Fan Cowl AR components</t>
  </si>
  <si>
    <t xml:space="preserve">17: FC_RH_PANEL, FC_LH_PANEL, FC_RH_LONGERON, FC_LH_LONGERON, FC_HINGE_1, FC_HINGE_2, FC_HINGE_3, FC_HINGE_BEAM, FC_LATCH_KEEPER_1, FC_LATCH_KEEPER_2, FC_LATCH_KEEPER_3, PIVOT_BKT, FC_DRAINAGE_PLATE, FC_STRAKE, FC_PROX_SENSOR_BKT, FC_AXIAL_LOCATOR, FC_OTAD</t>
  </si>
  <si>
    <t xml:space="preserve">Sections in AR</t>
  </si>
  <si>
    <t xml:space="preserve">Coverage / counts below are live formulas against Master Plan. Text columns are summarised from the source sheet.</t>
  </si>
  <si>
    <t xml:space="preserve">Row</t>
  </si>
  <si>
    <t xml:space="preserve">Section</t>
  </si>
  <si>
    <t xml:space="preserve">LLM Used?</t>
  </si>
  <si>
    <t xml:space="preserve">ASG Remarks (summary)</t>
  </si>
  <si>
    <t xml:space="preserve">ART Short-term / Workaround</t>
  </si>
  <si>
    <t xml:space="preserve">ART Long-term</t>
  </si>
  <si>
    <t xml:space="preserve">ASG-ART Aligned?</t>
  </si>
  <si>
    <t xml:space="preserve">Plan Feature</t>
  </si>
  <si>
    <t xml:space="preserve">Plan Tasks</t>
  </si>
  <si>
    <t xml:space="preserve">Coverage Check</t>
  </si>
  <si>
    <t xml:space="preserve">Header</t>
  </si>
  <si>
    <t xml:space="preserve">Based on ASG-provided A320 NEO template: Engineer Name, Model, Report, Revision Version.</t>
  </si>
  <si>
    <t xml:space="preserve">ASG template is the standard; UI captures Engineer Name, Date, Model, Report, Revision Version and fills the template header.</t>
  </si>
  <si>
    <t xml:space="preserve">-</t>
  </si>
  <si>
    <t xml:space="preserve">List of all sections, tables and figures in the report.</t>
  </si>
  <si>
    <t xml:space="preserve">Generate from finalized report structure; update automatically when content changes.</t>
  </si>
  <si>
    <t xml:space="preserve">Revision Record</t>
  </si>
  <si>
    <t xml:space="preserve">Captures revision history and relevant changes.</t>
  </si>
  <si>
    <t xml:space="preserve">First row auto-filled; Revision, Date, Change Description and Approvals entered in the UI.</t>
  </si>
  <si>
    <t xml:space="preserve">Track all revisions of LLM text/responses/images, keep version history, auto-generate change descriptions via semantic similarity / text-diff (revisit in 2027).</t>
  </si>
  <si>
    <t xml:space="preserve">ASG agreed to provide all previously available AR checklists for reference.</t>
  </si>
  <si>
    <t xml:space="preserve">Use the Failure Mode Matrix Excel shared by ASG as the primary reference.</t>
  </si>
  <si>
    <t xml:space="preserve">Scope</t>
  </si>
  <si>
    <t xml:space="preserve">Program, component, loads captured from UI; LLM generates the scope paragraph.</t>
  </si>
  <si>
    <t xml:space="preserve">Proceed with UI-based input collection and LLM generation.</t>
  </si>
  <si>
    <t xml:space="preserve">ASG to provide OneStopStressTool Excel: Part Number, Material, Temp, Applied Condition/Load ID, Applied/Allowable Load-Stress, Failure Mode, MS, Location ID.</t>
  </si>
  <si>
    <t xml:space="preserve">Proceed once tool output is provided; confirm Location ID requirement with ASG.</t>
  </si>
  <si>
    <t xml:space="preserve">List of Parts Covered</t>
  </si>
  <si>
    <t xml:space="preserve">BOMSTR and drawing documents considered; BOMSTR has needed part/material info except Billet Size.</t>
  </si>
  <si>
    <t xml:space="preserve">Use BOMSTR as primary source (workaround until Teamcenter API access).</t>
  </si>
  <si>
    <t xml:space="preserve">Download drawing PDFs from Teamcenter to extract the parts list.</t>
  </si>
  <si>
    <t xml:space="preserve">Covers Program, Component, Loads, Material, Connection Type, Load Path. Material from BOMSTR/drawings; RAG supports Connection Type and Load Path.</t>
  </si>
  <si>
    <t xml:space="preserve">BOMSTR as primary source; finalize reference sources for Connection Type, Load Path and images.</t>
  </si>
  <si>
    <t xml:space="preserve">Download drawing PDFs from Teamcenter for material info; MDX / Material Database access denied by ASG.</t>
  </si>
  <si>
    <t xml:space="preserve">References</t>
  </si>
  <si>
    <t xml:space="preserve">ASG confirmed a folder with files for the References table will be provided.</t>
  </si>
  <si>
    <t xml:space="preserve">Extract references from previous AR.</t>
  </si>
  <si>
    <t xml:space="preserve">Materials</t>
  </si>
  <si>
    <t xml:space="preserve">BOMSTR and drawing documents considered; BOMSTR has needed info except Billet Size.</t>
  </si>
  <si>
    <t xml:space="preserve">Use BOMSTR as primary source; Billet Size remains a limitation until a source / Teamcenter access exists.</t>
  </si>
  <si>
    <t xml:space="preserve">Download drawing PDFs from Teamcenter; MDX / Material Database access denied by ASG.</t>
  </si>
  <si>
    <t xml:space="preserve">Loads</t>
  </si>
  <si>
    <t xml:space="preserve">Depends on load data generated by OneStopStressTool.</t>
  </si>
  <si>
    <t xml:space="preserve">Proceed once load data is received and validated.</t>
  </si>
  <si>
    <t xml:space="preserve">BDF/DAT files used to extract component name, element/property/material type, material description, solver, solution type/description, total and excluded elements; other sources needed for Model Setup, Boundary Conditions, images.</t>
  </si>
  <si>
    <t xml:space="preserve">Use extracted BDF/DAT info as LLM input; identify and finalize sources for Model Setup, Boundary Conditions, images.</t>
  </si>
  <si>
    <t xml:space="preserve">Static Analysis</t>
  </si>
  <si>
    <t xml:space="preserve">Depends on analysis results from OneStopStressTool.</t>
  </si>
  <si>
    <t xml:space="preserve">Proceed once results are available and validated.</t>
  </si>
  <si>
    <t xml:space="preserve">ASG confirmed a folder with the Appendix files will be provided.</t>
  </si>
  <si>
    <t xml:space="preserve">Use ASG-provided files to populate the Appendix; keep the agreed report structure.</t>
  </si>
  <si>
    <t xml:space="preserve">Row = row number in SRG Sections.xlsx. ASG-ART Aligned? = 'No' means requirements/data source not yet agreed (risk to the plan).</t>
  </si>
  <si>
    <t xml:space="preserve">Decision &amp; Meeting Log (from SRG Sections 'Scope Changes / Meeting Points')</t>
  </si>
  <si>
    <t xml:space="preserve">Dates kept exactly as written in the source (dd/mm/yy). Plan impact column is my interpretation.</t>
  </si>
  <si>
    <t xml:space="preserve">Date</t>
  </si>
  <si>
    <t xml:space="preserve">Raised By</t>
  </si>
  <si>
    <t xml:space="preserve">Decision / Observation</t>
  </si>
  <si>
    <t xml:space="preserve">Plan Impact</t>
  </si>
  <si>
    <t xml:space="preserve">9/7/26</t>
  </si>
  <si>
    <t xml:space="preserve">ASG</t>
  </si>
  <si>
    <t xml:space="preserve">Provided template; agreed manual entry of Engineer Name, Model, Report, Revision Version.</t>
  </si>
  <si>
    <t xml:space="preserve">Superseded by 8/10/26 UI approach.</t>
  </si>
  <si>
    <t xml:space="preserve">8/10/26</t>
  </si>
  <si>
    <t xml:space="preserve">ART</t>
  </si>
  <si>
    <t xml:space="preserve">Suggested capturing Engineer Name, Date, Model, Report, Revision Version in the UI to remove manual entry in the AR.</t>
  </si>
  <si>
    <t xml:space="preserve">UI + API header tasks (Date field added).</t>
  </si>
  <si>
    <t xml:space="preserve">Suggested Revision record is manual entry.</t>
  </si>
  <si>
    <t xml:space="preserve">Superseded by 8/10/26.</t>
  </si>
  <si>
    <t xml:space="preserve">Auto-populate only the first row of the Revision Record in 2026; track complete revisions via version control and store LLM paragraphs in a DB - full tracking to be revisited in 2027.</t>
  </si>
  <si>
    <t xml:space="preserve">2026 scope = first-row auto-fill + UI entry. Full tracking is 2027 backlog.</t>
  </si>
  <si>
    <t xml:space="preserve">Suggested using the Failure Mode Matrix; ART developed a solution based on this approach.</t>
  </si>
  <si>
    <t xml:space="preserve">Analysis Checklist tasks proposed; reconcile with descoped 'Failure Mode Matrix' API task.</t>
  </si>
  <si>
    <t xml:space="preserve">(date not visible)</t>
  </si>
  <si>
    <t xml:space="preserve">Provided an Excel file containing the analysis checklist for Fancowl Static Analysis.</t>
  </si>
  <si>
    <t xml:space="preserve">Input available for checklist automation.</t>
  </si>
  <si>
    <t xml:space="preserve">1/10/26</t>
  </si>
  <si>
    <t xml:space="preserve">Suggested using OneStop Stress to create the MOS summary table.</t>
  </si>
  <si>
    <t xml:space="preserve">MS tasks depend on OneStopStressTool Excel.</t>
  </si>
  <si>
    <t xml:space="preserve">Agreed to provide analysis in Excel but it will take time - activity on hold. Location ID will come from the CATIA image.</t>
  </si>
  <si>
    <t xml:space="preserve">MS tasks stay Blocked. Conflicts with plan note that Location ID cannot be extracted from CATIA images.</t>
  </si>
  <si>
    <t xml:space="preserve">Should cover Program, Component, Loads, Material; Connection Type and Load Path to be identified from previous ARs.</t>
  </si>
  <si>
    <t xml:space="preserve">RAG task for Connection Type / Load Path.</t>
  </si>
  <si>
    <t xml:space="preserve">Component Description / Materials / List of Parts</t>
  </si>
  <si>
    <t xml:space="preserve">ASG / ART</t>
  </si>
  <si>
    <t xml:space="preserve">ASG suggested extracting part list/material from drawing PDFs, but drawings only have high-level part numbers (no sub-parts), Teamcenter API access is unavailable and OCR would need extra processing. ART suggested the BOMSTR Excel (part numbers, sub-parts, materials). Design team confirmation needed.</t>
  </si>
  <si>
    <t xml:space="preserve">BOMSTR is the proposed primary source; OCR / Teamcenter tasks become long-term.</t>
  </si>
  <si>
    <t xml:space="preserve">Materials / Component Description</t>
  </si>
  <si>
    <t xml:space="preserve">Access to Material Data Digitiser (MDX) and Material Database was requested but denied; ASG said it would not be useful.</t>
  </si>
  <si>
    <t xml:space="preserve">No MDX / Material DB integration in plan. Billet Size remains a limitation.</t>
  </si>
  <si>
    <t xml:space="preserve">ASG also needs to identify the images to be included.</t>
  </si>
  <si>
    <t xml:space="preserve">Image dependency.</t>
  </si>
  <si>
    <t xml:space="preserve">Agreed to provide an Excel file containing the ESOMs used in the component; file not received yet.</t>
  </si>
  <si>
    <t xml:space="preserve">References tasks Blocked.</t>
  </si>
  <si>
    <t xml:space="preserve">Still working on the One-Stop Stress Tool; not ready to provide Loads data. Section on hold.</t>
  </si>
  <si>
    <t xml:space="preserve">Loads tasks Blocked.</t>
  </si>
  <si>
    <t xml:space="preserve">Suggested a single paragraph describing the FEM using solver, element type, material type, property type, solution type, component name, total/excluded elements, material description, solution description.</t>
  </si>
  <si>
    <t xml:space="preserve">FEM paragraph tasks added (not in original plan).</t>
  </si>
  <si>
    <t xml:space="preserve">FEM subsections are inconsistent across ARs (Model Setup, Results, Boundary Conditions...). Clarification needed; ASG agreed to review and get back.</t>
  </si>
  <si>
    <t xml:space="preserve">FEM subsections task Blocked.</t>
  </si>
  <si>
    <t xml:space="preserve">Still working on the One-Stop Stress Tool; section on hold.</t>
  </si>
  <si>
    <t xml:space="preserve">Static Analysis tasks Blocked.</t>
  </si>
  <si>
    <t xml:space="preserve">Agreed to provide a folder containing all files for the Appendix.</t>
  </si>
  <si>
    <t xml:space="preserve">Appendix tasks added (not in original plan).</t>
  </si>
  <si>
    <t xml:space="preserve">5/10/26</t>
  </si>
  <si>
    <t xml:space="preserve">(From project plan) ASG confirmed they will output the MS data in an Excel file.</t>
  </si>
  <si>
    <t xml:space="preserve">Input format agreed; delivery date not given.</t>
  </si>
  <si>
    <t xml:space="preserve">Assumptions, Gaps &amp; Classification Rules</t>
  </si>
  <si>
    <t xml:space="preserve">Topic</t>
  </si>
  <si>
    <t xml:space="preserve">Detail</t>
  </si>
  <si>
    <t xml:space="preserve">Source</t>
  </si>
  <si>
    <t xml:space="preserve">Built from 7 screenshots of the 'Project Plan' sheet (SharePoint, Sheet1). Dates are dd/mm/yyyy.</t>
  </si>
  <si>
    <t xml:space="preserve">GAP - rows 15-30</t>
  </si>
  <si>
    <t xml:space="preserve">Not visible in any screenshot (row 14 is cut off at the bottom of image 1; row 31 starts image 4). Not included. Send those rows to add them.</t>
  </si>
  <si>
    <t xml:space="preserve">Workstream rules</t>
  </si>
  <si>
    <t xml:space="preserve">UI = screens/forms the user sees. API = endpoints/contracts exposed to the UI or other systems. Backend = data models, DB, YAML section definitions, extraction/OCR/merge automation, Teamcenter downloads, report generation. LLM &amp; RAG = RAG retrieval/pipeline and LLM text generation (and their testing). Testing &amp; Release = added 5th bucket for deployment, CI/CD, monitoring, documentation, unit/integration/E2E testing and environment setup.</t>
  </si>
  <si>
    <t xml:space="preserve">Judgement calls</t>
  </si>
  <si>
    <t xml:space="preserve">'YAML to add ... section in AR' tasks classed as Backend. 'Automation to download PDF from Teamcenter' classed as Backend (integration). 'Automation to merge UI and RAG data' classed as Backend. Change any in Master Plan column B.</t>
  </si>
  <si>
    <t xml:space="preserve">Date typo</t>
  </si>
  <si>
    <t xml:space="preserve">Rows 10-12 Finish read as 23/16/2026 (invalid); assumed 23/10/2026.</t>
  </si>
  <si>
    <t xml:space="preserve">Name spelling</t>
  </si>
  <si>
    <t xml:space="preserve">Source shows both 'Abihik' and 'Abhik'; normalised to 'Abhik'.</t>
  </si>
  <si>
    <t xml:space="preserve">Row 14 / rows 35-36</t>
  </si>
  <si>
    <t xml:space="preserve">Feature labels not visible. Row 14 grouped as 'Failure Mode Matrix' and marked descoped (source dependency note: previous ARs will be used). Rows 35-36 grouped under Margin of Safety (MS) Summary.</t>
  </si>
  <si>
    <t xml:space="preserve">Row 45 dependency</t>
  </si>
  <si>
    <t xml:space="preserve">Source cell showed 'sr'; replaced with the same One Stop Stress / Loads dependency as rows 46 and 48.</t>
  </si>
  <si>
    <t xml:space="preserve">Row 60</t>
  </si>
  <si>
    <t xml:space="preserve">'Generate Report for Fan Cowl AR' is 100% in source although finish is 2/12/2026 - please verify.</t>
  </si>
  <si>
    <t xml:space="preserve">Rows 70 / 72</t>
  </si>
  <si>
    <t xml:space="preserve">'Environment setup' and 'RAG pipeline Setup' were headings with no tasks or dates - added as placeholders (Unassigned) for you to break down.</t>
  </si>
  <si>
    <t xml:space="preserve">SRG Sections (2nd upload)</t>
  </si>
  <si>
    <t xml:space="preserve">Added from SRG Sections.xlsx (Sheet3, rows 8-21 visible): Sections Register + Decision Log tabs, 15 proposed tasks (Origin = Proposed, Unassigned, no dates - please assign and date them), and updated notes on existing tasks.</t>
  </si>
  <si>
    <t xml:space="preserve">Plan gaps found</t>
  </si>
  <si>
    <t xml:space="preserve">Sections in SRG but missing from the original plan: Scope, Analysis Checklist, FEM Description, Appendix. Materials is marked AI = Yes but had no LLM task. No API task existed for Program/Component/Loads capture.</t>
  </si>
  <si>
    <t xml:space="preserve">Conflicts to resolve</t>
  </si>
  <si>
    <t xml:space="preserve">(1) Location ID: plan says not feasible from CATIA images; SRG (8/10/26) says it will come from the CATIA image. (2) Failure Mode Matrix: plan descoped the API (use previous ARs); SRG says ART built a solution on the Failure Mode Matrix. (3) Teamcenter API: plan lists it as an ASG dependency; SRG says access is unavailable.</t>
  </si>
  <si>
    <t xml:space="preserve">Alignment column</t>
  </si>
  <si>
    <t xml:space="preserve">ASG-ART alignment values were read from bottom-aligned cells in angled photos; the Component Description value was only partly visible. Please verify. Rows 1-7 and 22+ of SRG Sections were not fully visible.</t>
  </si>
  <si>
    <t xml:space="preserve">Dates in Decision Log</t>
  </si>
  <si>
    <t xml:space="preserve">Kept as written (dd/mm/yy), e.g. 9/7/26 = 9 July 2026, 8/10/26 = 8 Oct 2026, consistent with the plan's dd/mm usage.</t>
  </si>
  <si>
    <t xml:space="preserve">Blocked tasks</t>
  </si>
  <si>
    <t xml:space="preserve">Source had 'BLOCKED' in the Start column. Here: Blocked? = Yes, Start/Finish left blank.</t>
  </si>
  <si>
    <t xml:space="preserve">Status logic</t>
  </si>
  <si>
    <t xml:space="preserve">Blocked? = Yes -&gt; Blocked; else 100% -&gt; Complete; &gt;0% -&gt; In Progress; else Not Started.</t>
  </si>
  <si>
    <t xml:space="preserve">Schedule Flag logic</t>
  </si>
  <si>
    <t xml:space="preserve">Not Complete and Finish &lt; As-of date -&gt; OVERDUE; Finish within 7 days -&gt; Due in 7 days; Blocked tasks show 'Blocked'; no dates -&gt; 'No dates'.</t>
  </si>
  <si>
    <t xml:space="preserve">Duration</t>
  </si>
  <si>
    <t xml:space="preserve">Calendar days (Finish - Start), not working days.</t>
  </si>
</sst>
</file>

<file path=xl/styles.xml><?xml version="1.0" encoding="utf-8"?>
<styleSheet xmlns="http://schemas.openxmlformats.org/spreadsheetml/2006/main">
  <numFmts count="5">
    <numFmt numFmtId="164" formatCode="General"/>
    <numFmt numFmtId="165" formatCode="dd\-mmm\-yyyy"/>
    <numFmt numFmtId="166" formatCode="General"/>
    <numFmt numFmtId="167" formatCode="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color rgb="FF0000FF"/>
      <name val="Arial"/>
      <family val="0"/>
      <charset val="1"/>
    </font>
    <font>
      <i val="true"/>
      <sz val="9"/>
      <name val="Arial"/>
      <family val="0"/>
      <charset val="1"/>
    </font>
    <font>
      <b val="true"/>
      <sz val="10"/>
      <color rgb="FFFFFFFF"/>
      <name val="Arial"/>
      <family val="0"/>
      <charset val="1"/>
    </font>
    <font>
      <sz val="10"/>
      <name val="Arial"/>
      <family val="0"/>
      <charset val="1"/>
    </font>
    <font>
      <sz val="10"/>
      <name val="Arial"/>
      <family val="2"/>
    </font>
    <font>
      <sz val="10"/>
      <color rgb="FF008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DEBF7"/>
        <bgColor rgb="FFD9E1F2"/>
      </patternFill>
    </fill>
    <fill>
      <patternFill patternType="solid">
        <fgColor rgb="FFE2EFDA"/>
        <bgColor rgb="FFEDEDED"/>
      </patternFill>
    </fill>
    <fill>
      <patternFill patternType="solid">
        <fgColor rgb="FFFFF2CC"/>
        <bgColor rgb="FFFCE4D6"/>
      </patternFill>
    </fill>
    <fill>
      <patternFill patternType="solid">
        <fgColor rgb="FFEAD1F5"/>
        <bgColor rgb="FFD9E1F2"/>
      </patternFill>
    </fill>
    <fill>
      <patternFill patternType="solid">
        <fgColor rgb="FFFCE4D6"/>
        <bgColor rgb="FFFFF2CC"/>
      </patternFill>
    </fill>
    <fill>
      <patternFill patternType="solid">
        <fgColor rgb="FFD9E1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true" applyProtection="false">
      <alignment horizontal="center" vertical="bottom" textRotation="0" wrapText="false" indent="0" shrinkToFit="false"/>
      <protection locked="true" hidden="false"/>
    </xf>
    <xf numFmtId="167" fontId="5" fillId="8"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7"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top" textRotation="0" wrapText="tru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ont>
        <name val="Arial"/>
        <charset val="1"/>
        <family val="0"/>
        <b val="1"/>
        <color rgb="FFC00000"/>
      </font>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AD1F5"/>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F4B6B6"/>
          <bgColor rgb="FF000000"/>
        </patternFill>
      </fill>
    </dxf>
    <dxf>
      <fill>
        <patternFill patternType="solid">
          <fgColor rgb="FFFFEB9C"/>
          <bgColor rgb="FF000000"/>
        </patternFill>
      </fill>
    </dxf>
    <dxf>
      <fill>
        <patternFill patternType="solid">
          <fgColor rgb="FFFF9999"/>
          <bgColor rgb="FF000000"/>
        </patternFill>
      </fill>
    </dxf>
    <dxf>
      <fill>
        <patternFill>
          <bgColor rgb="FFC6EFCE"/>
        </patternFill>
      </fill>
    </dxf>
    <dxf>
      <fill>
        <patternFill>
          <bgColor rgb="FFFFEB9C"/>
        </patternFill>
      </fill>
    </dxf>
    <dxf>
      <fill>
        <patternFill>
          <bgColor rgb="FFF4B6B6"/>
        </patternFill>
      </fill>
    </dxf>
    <dxf>
      <fill>
        <patternFill>
          <bgColor rgb="FFEDEDED"/>
        </patternFill>
      </fill>
    </dxf>
    <dxf>
      <fill>
        <patternFill>
          <bgColor rgb="FFFF9999"/>
        </patternFill>
      </fill>
    </dxf>
    <dxf>
      <fill>
        <patternFill>
          <bgColor rgb="FFFFD966"/>
        </patternFill>
      </fill>
    </dxf>
    <dxf>
      <fill>
        <patternFill patternType="solid">
          <fgColor rgb="FF008000"/>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CE4D6"/>
      <rgbColor rgb="FFFF00FF"/>
      <rgbColor rgb="FF00FFFF"/>
      <rgbColor rgb="FF800000"/>
      <rgbColor rgb="FF008000"/>
      <rgbColor rgb="FF000080"/>
      <rgbColor rgb="FF808000"/>
      <rgbColor rgb="FF800080"/>
      <rgbColor rgb="FF008080"/>
      <rgbColor rgb="FFBFBFBF"/>
      <rgbColor rgb="FF808080"/>
      <rgbColor rgb="FF5B9BD5"/>
      <rgbColor rgb="FF7030A0"/>
      <rgbColor rgb="FFFFF2CC"/>
      <rgbColor rgb="FFDDEBF7"/>
      <rgbColor rgb="FF660066"/>
      <rgbColor rgb="FFFF8080"/>
      <rgbColor rgb="FF0066CC"/>
      <rgbColor rgb="FFEAD1F5"/>
      <rgbColor rgb="FF000080"/>
      <rgbColor rgb="FFFF00FF"/>
      <rgbColor rgb="FFEDEDED"/>
      <rgbColor rgb="FF00FFFF"/>
      <rgbColor rgb="FF800080"/>
      <rgbColor rgb="FF800000"/>
      <rgbColor rgb="FF008080"/>
      <rgbColor rgb="FF0000FF"/>
      <rgbColor rgb="FF00CCFF"/>
      <rgbColor rgb="FFE2EFDA"/>
      <rgbColor rgb="FFC6EFCE"/>
      <rgbColor rgb="FFFFEB9C"/>
      <rgbColor rgb="FFD9E1F2"/>
      <rgbColor rgb="FFFF9999"/>
      <rgbColor rgb="FFF4B6B6"/>
      <rgbColor rgb="FFFFD966"/>
      <rgbColor rgb="FF2E75B6"/>
      <rgbColor rgb="FF33CCCC"/>
      <rgbColor rgb="FF99CC00"/>
      <rgbColor rgb="FFFFC000"/>
      <rgbColor rgb="FFFF9900"/>
      <rgbColor rgb="FFED7D31"/>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4" min="3" style="0" width="12"/>
    <col collapsed="false" customWidth="true" hidden="false" outlineLevel="0" max="6" min="5" style="0" width="13"/>
    <col collapsed="false" customWidth="true" hidden="false" outlineLevel="0" max="8" min="7" style="0" width="10"/>
    <col collapsed="false" customWidth="true" hidden="false" outlineLevel="0" max="9" min="9" style="0" width="15"/>
  </cols>
  <sheetData>
    <row r="1" customFormat="false" ht="17.35" hidden="false" customHeight="false" outlineLevel="0" collapsed="false">
      <c r="A1" s="1" t="s">
        <v>0</v>
      </c>
    </row>
    <row r="3" customFormat="false" ht="15" hidden="false" customHeight="false" outlineLevel="0" collapsed="false">
      <c r="B3" s="2" t="s">
        <v>1</v>
      </c>
      <c r="C3" s="3" t="n">
        <v>46308</v>
      </c>
      <c r="D3" s="4" t="s">
        <v>2</v>
      </c>
    </row>
    <row r="5" customFormat="false" ht="15" hidden="false" customHeight="false" outlineLevel="0" collapsed="false">
      <c r="B5" s="2" t="s">
        <v>3</v>
      </c>
    </row>
    <row r="6" customFormat="false" ht="15" hidden="false" customHeight="false" outlineLevel="0" collapsed="false">
      <c r="B6" s="5" t="s">
        <v>4</v>
      </c>
      <c r="C6" s="5" t="s">
        <v>5</v>
      </c>
      <c r="D6" s="5" t="s">
        <v>6</v>
      </c>
      <c r="E6" s="5" t="s">
        <v>7</v>
      </c>
      <c r="F6" s="5" t="s">
        <v>8</v>
      </c>
      <c r="G6" s="5" t="s">
        <v>9</v>
      </c>
      <c r="H6" s="5" t="s">
        <v>10</v>
      </c>
      <c r="I6" s="5" t="s">
        <v>11</v>
      </c>
    </row>
    <row r="7" customFormat="false" ht="15" hidden="false" customHeight="false" outlineLevel="0" collapsed="false">
      <c r="B7" s="6" t="s">
        <v>12</v>
      </c>
      <c r="C7" s="7" t="n">
        <f aca="false">COUNTIF('Master Plan'!$B$5:$B$73,B7)</f>
        <v>5</v>
      </c>
      <c r="D7" s="7" t="n">
        <f aca="false">COUNTIFS('Master Plan'!$B$5:$B$73,$B7,'Master Plan'!$K$5:$K$73,"Complete")</f>
        <v>1</v>
      </c>
      <c r="E7" s="7" t="n">
        <f aca="false">COUNTIFS('Master Plan'!$B$5:$B$73,$B7,'Master Plan'!$K$5:$K$73,"In Progress")</f>
        <v>2</v>
      </c>
      <c r="F7" s="7" t="n">
        <f aca="false">COUNTIFS('Master Plan'!$B$5:$B$73,$B7,'Master Plan'!$K$5:$K$73,"Not Started")</f>
        <v>2</v>
      </c>
      <c r="G7" s="7" t="n">
        <f aca="false">COUNTIFS('Master Plan'!$B$5:$B$73,$B7,'Master Plan'!$K$5:$K$73,"Blocked")</f>
        <v>0</v>
      </c>
      <c r="H7" s="7" t="n">
        <f aca="false">COUNTIFS('Master Plan'!$B$5:$B$73,$B7,'Master Plan'!$L$5:$L$73,"OVERDUE")</f>
        <v>1</v>
      </c>
      <c r="I7" s="8" t="n">
        <f aca="false">IFERROR(AVERAGEIFS('Master Plan'!$I$5:$I$73,'Master Plan'!$B$5:$B$73,$B7),0)</f>
        <v>0.26</v>
      </c>
    </row>
    <row r="8" customFormat="false" ht="15" hidden="false" customHeight="false" outlineLevel="0" collapsed="false">
      <c r="B8" s="9" t="s">
        <v>13</v>
      </c>
      <c r="C8" s="7" t="n">
        <f aca="false">COUNTIF('Master Plan'!$B$5:$B$73,B8)</f>
        <v>38</v>
      </c>
      <c r="D8" s="7" t="n">
        <f aca="false">COUNTIFS('Master Plan'!$B$5:$B$73,$B8,'Master Plan'!$K$5:$K$73,"Complete")</f>
        <v>4</v>
      </c>
      <c r="E8" s="7" t="n">
        <f aca="false">COUNTIFS('Master Plan'!$B$5:$B$73,$B8,'Master Plan'!$K$5:$K$73,"In Progress")</f>
        <v>2</v>
      </c>
      <c r="F8" s="7" t="n">
        <f aca="false">COUNTIFS('Master Plan'!$B$5:$B$73,$B8,'Master Plan'!$K$5:$K$73,"Not Started")</f>
        <v>8</v>
      </c>
      <c r="G8" s="7" t="n">
        <f aca="false">COUNTIFS('Master Plan'!$B$5:$B$73,$B8,'Master Plan'!$K$5:$K$73,"Blocked")</f>
        <v>24</v>
      </c>
      <c r="H8" s="7" t="n">
        <f aca="false">COUNTIFS('Master Plan'!$B$5:$B$73,$B8,'Master Plan'!$L$5:$L$73,"OVERDUE")</f>
        <v>1</v>
      </c>
      <c r="I8" s="8" t="n">
        <f aca="false">IFERROR(AVERAGEIFS('Master Plan'!$I$5:$I$73,'Master Plan'!$B$5:$B$73,$B8),0)</f>
        <v>0.134210526315789</v>
      </c>
    </row>
    <row r="9" customFormat="false" ht="15" hidden="false" customHeight="false" outlineLevel="0" collapsed="false">
      <c r="B9" s="10" t="s">
        <v>14</v>
      </c>
      <c r="C9" s="7" t="n">
        <f aca="false">COUNTIF('Master Plan'!$B$5:$B$73,B9)</f>
        <v>7</v>
      </c>
      <c r="D9" s="7" t="n">
        <f aca="false">COUNTIFS('Master Plan'!$B$5:$B$73,$B9,'Master Plan'!$K$5:$K$73,"Complete")</f>
        <v>1</v>
      </c>
      <c r="E9" s="7" t="n">
        <f aca="false">COUNTIFS('Master Plan'!$B$5:$B$73,$B9,'Master Plan'!$K$5:$K$73,"In Progress")</f>
        <v>4</v>
      </c>
      <c r="F9" s="7" t="n">
        <f aca="false">COUNTIFS('Master Plan'!$B$5:$B$73,$B9,'Master Plan'!$K$5:$K$73,"Not Started")</f>
        <v>2</v>
      </c>
      <c r="G9" s="7" t="n">
        <f aca="false">COUNTIFS('Master Plan'!$B$5:$B$73,$B9,'Master Plan'!$K$5:$K$73,"Blocked")</f>
        <v>0</v>
      </c>
      <c r="H9" s="7" t="n">
        <f aca="false">COUNTIFS('Master Plan'!$B$5:$B$73,$B9,'Master Plan'!$L$5:$L$73,"OVERDUE")</f>
        <v>2</v>
      </c>
      <c r="I9" s="8" t="n">
        <f aca="false">IFERROR(AVERAGEIFS('Master Plan'!$I$5:$I$73,'Master Plan'!$B$5:$B$73,$B9),0)</f>
        <v>0.442857142857143</v>
      </c>
    </row>
    <row r="10" customFormat="false" ht="15" hidden="false" customHeight="false" outlineLevel="0" collapsed="false">
      <c r="B10" s="11" t="s">
        <v>15</v>
      </c>
      <c r="C10" s="7" t="n">
        <f aca="false">COUNTIF('Master Plan'!$B$5:$B$73,B10)</f>
        <v>10</v>
      </c>
      <c r="D10" s="7" t="n">
        <f aca="false">COUNTIFS('Master Plan'!$B$5:$B$73,$B10,'Master Plan'!$K$5:$K$73,"Complete")</f>
        <v>0</v>
      </c>
      <c r="E10" s="7" t="n">
        <f aca="false">COUNTIFS('Master Plan'!$B$5:$B$73,$B10,'Master Plan'!$K$5:$K$73,"In Progress")</f>
        <v>0</v>
      </c>
      <c r="F10" s="7" t="n">
        <f aca="false">COUNTIFS('Master Plan'!$B$5:$B$73,$B10,'Master Plan'!$K$5:$K$73,"Not Started")</f>
        <v>7</v>
      </c>
      <c r="G10" s="7" t="n">
        <f aca="false">COUNTIFS('Master Plan'!$B$5:$B$73,$B10,'Master Plan'!$K$5:$K$73,"Blocked")</f>
        <v>3</v>
      </c>
      <c r="H10" s="7" t="n">
        <f aca="false">COUNTIFS('Master Plan'!$B$5:$B$73,$B10,'Master Plan'!$L$5:$L$73,"OVERDUE")</f>
        <v>0</v>
      </c>
      <c r="I10" s="8" t="n">
        <f aca="false">IFERROR(AVERAGEIFS('Master Plan'!$I$5:$I$73,'Master Plan'!$B$5:$B$73,$B10),0)</f>
        <v>0</v>
      </c>
    </row>
    <row r="11" customFormat="false" ht="15" hidden="false" customHeight="false" outlineLevel="0" collapsed="false">
      <c r="B11" s="12" t="s">
        <v>16</v>
      </c>
      <c r="C11" s="7" t="n">
        <f aca="false">COUNTIF('Master Plan'!$B$5:$B$73,B11)</f>
        <v>9</v>
      </c>
      <c r="D11" s="7" t="n">
        <f aca="false">COUNTIFS('Master Plan'!$B$5:$B$73,$B11,'Master Plan'!$K$5:$K$73,"Complete")</f>
        <v>0</v>
      </c>
      <c r="E11" s="7" t="n">
        <f aca="false">COUNTIFS('Master Plan'!$B$5:$B$73,$B11,'Master Plan'!$K$5:$K$73,"In Progress")</f>
        <v>0</v>
      </c>
      <c r="F11" s="7" t="n">
        <f aca="false">COUNTIFS('Master Plan'!$B$5:$B$73,$B11,'Master Plan'!$K$5:$K$73,"Not Started")</f>
        <v>9</v>
      </c>
      <c r="G11" s="7" t="n">
        <f aca="false">COUNTIFS('Master Plan'!$B$5:$B$73,$B11,'Master Plan'!$K$5:$K$73,"Blocked")</f>
        <v>0</v>
      </c>
      <c r="H11" s="7" t="n">
        <f aca="false">COUNTIFS('Master Plan'!$B$5:$B$73,$B11,'Master Plan'!$L$5:$L$73,"OVERDUE")</f>
        <v>0</v>
      </c>
      <c r="I11" s="8" t="n">
        <f aca="false">IFERROR(AVERAGEIFS('Master Plan'!$I$5:$I$73,'Master Plan'!$B$5:$B$73,$B11),0)</f>
        <v>0</v>
      </c>
    </row>
    <row r="12" customFormat="false" ht="15" hidden="false" customHeight="false" outlineLevel="0" collapsed="false">
      <c r="B12" s="13" t="s">
        <v>5</v>
      </c>
      <c r="C12" s="14" t="n">
        <f aca="false">SUM(C7:C11)</f>
        <v>69</v>
      </c>
      <c r="D12" s="14" t="n">
        <f aca="false">SUM(D7:D11)</f>
        <v>6</v>
      </c>
      <c r="E12" s="14" t="n">
        <f aca="false">SUM(E7:E11)</f>
        <v>8</v>
      </c>
      <c r="F12" s="14" t="n">
        <f aca="false">SUM(F7:F11)</f>
        <v>28</v>
      </c>
      <c r="G12" s="14" t="n">
        <f aca="false">SUM(G7:G11)</f>
        <v>27</v>
      </c>
      <c r="H12" s="14" t="n">
        <f aca="false">SUM(H7:H11)</f>
        <v>4</v>
      </c>
      <c r="I12" s="15" t="n">
        <f aca="false">IFERROR(AVERAGE('Master Plan'!$I$5:$I$73),0)</f>
        <v>0.13768115942029</v>
      </c>
    </row>
    <row r="14" customFormat="false" ht="15" hidden="false" customHeight="false" outlineLevel="0" collapsed="false">
      <c r="B14" s="2" t="s">
        <v>17</v>
      </c>
    </row>
    <row r="15" customFormat="false" ht="15" hidden="false" customHeight="false" outlineLevel="0" collapsed="false">
      <c r="B15" s="5" t="s">
        <v>18</v>
      </c>
      <c r="C15" s="5" t="s">
        <v>5</v>
      </c>
      <c r="D15" s="5" t="s">
        <v>6</v>
      </c>
      <c r="E15" s="5" t="s">
        <v>7</v>
      </c>
      <c r="F15" s="5" t="s">
        <v>8</v>
      </c>
      <c r="G15" s="5" t="s">
        <v>9</v>
      </c>
      <c r="H15" s="5" t="s">
        <v>10</v>
      </c>
    </row>
    <row r="16" customFormat="false" ht="15" hidden="false" customHeight="false" outlineLevel="0" collapsed="false">
      <c r="B16" s="16" t="s">
        <v>19</v>
      </c>
      <c r="C16" s="7" t="n">
        <f aca="false">COUNTIF('Master Plan'!$E$5:$E$73,B16)</f>
        <v>12</v>
      </c>
      <c r="D16" s="7" t="n">
        <f aca="false">COUNTIFS('Master Plan'!$E$5:$E$73,$B16,'Master Plan'!$K$5:$K$73,"Complete")</f>
        <v>2</v>
      </c>
      <c r="E16" s="7" t="n">
        <f aca="false">COUNTIFS('Master Plan'!$E$5:$E$73,$B16,'Master Plan'!$K$5:$K$73,"In Progress")</f>
        <v>8</v>
      </c>
      <c r="F16" s="7" t="n">
        <f aca="false">COUNTIFS('Master Plan'!$E$5:$E$73,$B16,'Master Plan'!$K$5:$K$73,"Not Started")</f>
        <v>2</v>
      </c>
      <c r="G16" s="7" t="n">
        <f aca="false">COUNTIFS('Master Plan'!$E$5:$E$73,$B16,'Master Plan'!$K$5:$K$73,"Blocked")</f>
        <v>0</v>
      </c>
      <c r="H16" s="7" t="n">
        <f aca="false">COUNTIFS('Master Plan'!$E$5:$E$73,$B16,'Master Plan'!$L$5:$L$73,"OVERDUE")</f>
        <v>4</v>
      </c>
    </row>
    <row r="17" customFormat="false" ht="15" hidden="false" customHeight="false" outlineLevel="0" collapsed="false">
      <c r="B17" s="16" t="s">
        <v>20</v>
      </c>
      <c r="C17" s="7" t="n">
        <f aca="false">COUNTIF('Master Plan'!$E$5:$E$73,B17)</f>
        <v>5</v>
      </c>
      <c r="D17" s="7" t="n">
        <f aca="false">COUNTIFS('Master Plan'!$E$5:$E$73,$B17,'Master Plan'!$K$5:$K$73,"Complete")</f>
        <v>3</v>
      </c>
      <c r="E17" s="7" t="n">
        <f aca="false">COUNTIFS('Master Plan'!$E$5:$E$73,$B17,'Master Plan'!$K$5:$K$73,"In Progress")</f>
        <v>0</v>
      </c>
      <c r="F17" s="7" t="n">
        <f aca="false">COUNTIFS('Master Plan'!$E$5:$E$73,$B17,'Master Plan'!$K$5:$K$73,"Not Started")</f>
        <v>2</v>
      </c>
      <c r="G17" s="7" t="n">
        <f aca="false">COUNTIFS('Master Plan'!$E$5:$E$73,$B17,'Master Plan'!$K$5:$K$73,"Blocked")</f>
        <v>0</v>
      </c>
      <c r="H17" s="7" t="n">
        <f aca="false">COUNTIFS('Master Plan'!$E$5:$E$73,$B17,'Master Plan'!$L$5:$L$73,"OVERDUE")</f>
        <v>0</v>
      </c>
    </row>
    <row r="18" customFormat="false" ht="15" hidden="false" customHeight="false" outlineLevel="0" collapsed="false">
      <c r="B18" s="16" t="s">
        <v>21</v>
      </c>
      <c r="C18" s="7" t="n">
        <f aca="false">COUNTIF('Master Plan'!$E$5:$E$73,B18)</f>
        <v>1</v>
      </c>
      <c r="D18" s="7" t="n">
        <f aca="false">COUNTIFS('Master Plan'!$E$5:$E$73,$B18,'Master Plan'!$K$5:$K$73,"Complete")</f>
        <v>0</v>
      </c>
      <c r="E18" s="7" t="n">
        <f aca="false">COUNTIFS('Master Plan'!$E$5:$E$73,$B18,'Master Plan'!$K$5:$K$73,"In Progress")</f>
        <v>0</v>
      </c>
      <c r="F18" s="7" t="n">
        <f aca="false">COUNTIFS('Master Plan'!$E$5:$E$73,$B18,'Master Plan'!$K$5:$K$73,"Not Started")</f>
        <v>1</v>
      </c>
      <c r="G18" s="7" t="n">
        <f aca="false">COUNTIFS('Master Plan'!$E$5:$E$73,$B18,'Master Plan'!$K$5:$K$73,"Blocked")</f>
        <v>0</v>
      </c>
      <c r="H18" s="7" t="n">
        <f aca="false">COUNTIFS('Master Plan'!$E$5:$E$73,$B18,'Master Plan'!$L$5:$L$73,"OVERDUE")</f>
        <v>0</v>
      </c>
    </row>
    <row r="19" customFormat="false" ht="15" hidden="false" customHeight="false" outlineLevel="0" collapsed="false">
      <c r="B19" s="16" t="s">
        <v>22</v>
      </c>
      <c r="C19" s="7" t="n">
        <f aca="false">COUNTIF('Master Plan'!$E$5:$E$73,B19)</f>
        <v>10</v>
      </c>
      <c r="D19" s="7" t="n">
        <f aca="false">COUNTIFS('Master Plan'!$E$5:$E$73,$B19,'Master Plan'!$K$5:$K$73,"Complete")</f>
        <v>1</v>
      </c>
      <c r="E19" s="7" t="n">
        <f aca="false">COUNTIFS('Master Plan'!$E$5:$E$73,$B19,'Master Plan'!$K$5:$K$73,"In Progress")</f>
        <v>0</v>
      </c>
      <c r="F19" s="7" t="n">
        <f aca="false">COUNTIFS('Master Plan'!$E$5:$E$73,$B19,'Master Plan'!$K$5:$K$73,"Not Started")</f>
        <v>9</v>
      </c>
      <c r="G19" s="7" t="n">
        <f aca="false">COUNTIFS('Master Plan'!$E$5:$E$73,$B19,'Master Plan'!$K$5:$K$73,"Blocked")</f>
        <v>0</v>
      </c>
      <c r="H19" s="7" t="n">
        <f aca="false">COUNTIFS('Master Plan'!$E$5:$E$73,$B19,'Master Plan'!$L$5:$L$73,"OVERDUE")</f>
        <v>0</v>
      </c>
    </row>
    <row r="20" customFormat="false" ht="15" hidden="false" customHeight="false" outlineLevel="0" collapsed="false">
      <c r="B20" s="16" t="s">
        <v>23</v>
      </c>
      <c r="C20" s="7" t="n">
        <f aca="false">COUNTIF('Master Plan'!$E$5:$E$73,B20)</f>
        <v>41</v>
      </c>
      <c r="D20" s="7" t="n">
        <f aca="false">COUNTIFS('Master Plan'!$E$5:$E$73,$B20,'Master Plan'!$K$5:$K$73,"Complete")</f>
        <v>0</v>
      </c>
      <c r="E20" s="7" t="n">
        <f aca="false">COUNTIFS('Master Plan'!$E$5:$E$73,$B20,'Master Plan'!$K$5:$K$73,"In Progress")</f>
        <v>0</v>
      </c>
      <c r="F20" s="7" t="n">
        <f aca="false">COUNTIFS('Master Plan'!$E$5:$E$73,$B20,'Master Plan'!$K$5:$K$73,"Not Started")</f>
        <v>14</v>
      </c>
      <c r="G20" s="7" t="n">
        <f aca="false">COUNTIFS('Master Plan'!$E$5:$E$73,$B20,'Master Plan'!$K$5:$K$73,"Blocked")</f>
        <v>27</v>
      </c>
      <c r="H20" s="7" t="n">
        <f aca="false">COUNTIFS('Master Plan'!$E$5:$E$73,$B20,'Master Plan'!$L$5:$L$73,"OVERDUE")</f>
        <v>0</v>
      </c>
    </row>
    <row r="21" customFormat="false" ht="15" hidden="false" customHeight="false" outlineLevel="0" collapsed="false">
      <c r="B21" s="13" t="s">
        <v>5</v>
      </c>
      <c r="C21" s="14" t="n">
        <f aca="false">SUM(C16:C20)</f>
        <v>69</v>
      </c>
      <c r="D21" s="14" t="n">
        <f aca="false">SUM(D16:D20)</f>
        <v>6</v>
      </c>
      <c r="E21" s="14" t="n">
        <f aca="false">SUM(E16:E20)</f>
        <v>8</v>
      </c>
      <c r="F21" s="14" t="n">
        <f aca="false">SUM(F16:F20)</f>
        <v>28</v>
      </c>
      <c r="G21" s="14" t="n">
        <f aca="false">SUM(G16:G20)</f>
        <v>27</v>
      </c>
      <c r="H21" s="14" t="n">
        <f aca="false">SUM(H16:H20)</f>
        <v>4</v>
      </c>
    </row>
    <row r="23" customFormat="false" ht="15" hidden="false" customHeight="false" outlineLevel="0" collapsed="false">
      <c r="B23" s="4" t="s">
        <v>24</v>
      </c>
      <c r="C23" s="2" t="str">
        <f aca="false">IF(C21=C12,"OK","MISMATCH")</f>
        <v>OK</v>
      </c>
    </row>
    <row r="25" customFormat="false" ht="15" hidden="false" customHeight="false" outlineLevel="0" collapsed="false">
      <c r="B25" s="4" t="s">
        <v>25</v>
      </c>
    </row>
    <row r="26" customFormat="false" ht="15" hidden="false" customHeight="false" outlineLevel="0" collapsed="false">
      <c r="B26" s="2" t="s">
        <v>26</v>
      </c>
    </row>
    <row r="27" customFormat="false" ht="15" hidden="false" customHeight="false" outlineLevel="0" collapsed="false">
      <c r="B27" s="17" t="s">
        <v>27</v>
      </c>
      <c r="C27" s="17" t="s">
        <v>28</v>
      </c>
    </row>
    <row r="28" customFormat="false" ht="15" hidden="false" customHeight="false" outlineLevel="0" collapsed="false">
      <c r="B28" s="18" t="s">
        <v>29</v>
      </c>
      <c r="C28" s="7" t="n">
        <f aca="false">COUNTIF('Master Plan'!$P$5:$P$73,"Project Plan")</f>
        <v>54</v>
      </c>
    </row>
    <row r="29" customFormat="false" ht="15" hidden="false" customHeight="false" outlineLevel="0" collapsed="false">
      <c r="B29" s="18" t="s">
        <v>30</v>
      </c>
      <c r="C29" s="7" t="n">
        <f aca="false">COUNTIF('Master Plan'!$P$5:$P$73,"Proposed")</f>
        <v>15</v>
      </c>
    </row>
    <row r="30" customFormat="false" ht="15" hidden="false" customHeight="false" outlineLevel="0" collapsed="false">
      <c r="B30" s="18" t="s">
        <v>31</v>
      </c>
      <c r="C30" s="7" t="n">
        <f aca="false">COUNTA('Sections Register'!B8:B21)</f>
        <v>14</v>
      </c>
    </row>
    <row r="31" customFormat="false" ht="15" hidden="false" customHeight="false" outlineLevel="0" collapsed="false">
      <c r="B31" s="18" t="s">
        <v>32</v>
      </c>
      <c r="C31" s="7" t="n">
        <f aca="false">COUNTIF('Sections Register'!G8:G21,"No")</f>
        <v>5</v>
      </c>
    </row>
    <row r="32" customFormat="false" ht="15" hidden="false" customHeight="false" outlineLevel="0" collapsed="false">
      <c r="B32" s="18" t="s">
        <v>33</v>
      </c>
      <c r="C32" s="7" t="n">
        <f aca="false">COUNTIF('Sections Register'!M8:M21,"Proposed only")</f>
        <v>3</v>
      </c>
    </row>
    <row r="33" customFormat="false" ht="15" hidden="false" customHeight="false" outlineLevel="0" collapsed="false">
      <c r="B33" s="18" t="s">
        <v>34</v>
      </c>
      <c r="C33" s="7" t="n">
        <f aca="false">COUNTIF('Sections Register'!M8:M21,"NO TASKS")+COUNTIF('Sections Register'!M8:M21,"LLM task missing")</f>
        <v>0</v>
      </c>
    </row>
  </sheetData>
  <conditionalFormatting sqref="I7:I11">
    <cfRule type="dataBar" priority="2">
      <dataBar showValue="1" minLength="10" maxLength="90">
        <cfvo type="num" val="0"/>
        <cfvo type="num" val="1"/>
        <color rgb="FF63BE7B"/>
      </dataBar>
      <extLst>
        <ext xmlns:x14="http://schemas.microsoft.com/office/spreadsheetml/2009/9/main" uri="{B025F937-C7B1-47D3-B67F-A62EFF666E3E}">
          <x14:id>{C384CB40-2EA7-41A5-AF62-DD5A9C2ABC5F}</x14:id>
        </ext>
      </extLst>
    </cfRule>
  </conditionalFormatting>
  <conditionalFormatting sqref="H7:H12">
    <cfRule type="cellIs" priority="3" operator="greaterThan" aboveAverage="0" equalAverage="0" bottom="0" percent="0" rank="0" text="" dxfId="0">
      <formula>0</formula>
    </cfRule>
  </conditionalFormatting>
  <conditionalFormatting sqref="G7:G12">
    <cfRule type="cellIs" priority="4" operator="greaterThan" aboveAverage="0" equalAverage="0" bottom="0" percent="0" rank="0" text="" dxfId="0">
      <formula>0</formula>
    </cfRule>
  </conditionalFormatting>
  <conditionalFormatting sqref="G16:H21">
    <cfRule type="cellIs" priority="5"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dataBar" id="{C384CB40-2EA7-41A5-AF62-DD5A9C2ABC5F}">
            <x14:dataBar minLength="10" maxLength="90" axisPosition="none" gradient="true">
              <x14:cfvo type="num">
                <xm:f>0</xm:f>
              </x14:cfvo>
              <x14:cfvo type="num">
                <xm:f>1</xm:f>
              </x14:cfvo>
              <x14:negativeFillColor rgb="FF63BE7B"/>
              <x14:axisColor rgb="FF000000"/>
            </x14:dataBar>
          </x14:cfRule>
          <xm:sqref>I7:I11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P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6"/>
    <col collapsed="false" customWidth="true" hidden="false" outlineLevel="0" max="4" min="4" style="0" width="58"/>
    <col collapsed="false" customWidth="true" hidden="false" outlineLevel="0" max="5" min="5" style="0" width="16"/>
    <col collapsed="false" customWidth="true" hidden="false" outlineLevel="0" max="7" min="6" style="0" width="13"/>
    <col collapsed="false" customWidth="true" hidden="false" outlineLevel="0" max="9" min="8" style="0" width="10"/>
    <col collapsed="false" customWidth="true" hidden="false" outlineLevel="0" max="10" min="10" style="0" width="9"/>
    <col collapsed="false" customWidth="true" hidden="false" outlineLevel="0" max="11" min="11" style="0" width="12"/>
    <col collapsed="false" customWidth="true" hidden="false" outlineLevel="0" max="12" min="12" style="0" width="15"/>
    <col collapsed="false" customWidth="true" hidden="false" outlineLevel="0" max="13" min="13" style="0" width="48"/>
    <col collapsed="false" customWidth="true" hidden="false" outlineLevel="0" max="14" min="14" style="0" width="9"/>
    <col collapsed="false" customWidth="true" hidden="false" outlineLevel="0" max="15" min="15" style="0" width="52"/>
    <col collapsed="false" customWidth="true" hidden="false" outlineLevel="0" max="16" min="16" style="0" width="13"/>
  </cols>
  <sheetData>
    <row r="1" customFormat="false" ht="17.35" hidden="false" customHeight="false" outlineLevel="0" collapsed="false">
      <c r="A1" s="1" t="s">
        <v>35</v>
      </c>
    </row>
    <row r="2" customFormat="false" ht="15" hidden="false" customHeight="false" outlineLevel="0" collapsed="false">
      <c r="A2" s="4" t="s">
        <v>36</v>
      </c>
    </row>
    <row r="4" customFormat="false" ht="30" hidden="false" customHeight="true" outlineLevel="0" collapsed="false">
      <c r="A4" s="5" t="s">
        <v>37</v>
      </c>
      <c r="B4" s="5" t="s">
        <v>4</v>
      </c>
      <c r="C4" s="5" t="s">
        <v>38</v>
      </c>
      <c r="D4" s="5" t="s">
        <v>39</v>
      </c>
      <c r="E4" s="5" t="s">
        <v>18</v>
      </c>
      <c r="F4" s="5" t="s">
        <v>40</v>
      </c>
      <c r="G4" s="5" t="s">
        <v>41</v>
      </c>
      <c r="H4" s="5" t="s">
        <v>42</v>
      </c>
      <c r="I4" s="5" t="s">
        <v>43</v>
      </c>
      <c r="J4" s="5" t="s">
        <v>44</v>
      </c>
      <c r="K4" s="5" t="s">
        <v>45</v>
      </c>
      <c r="L4" s="5" t="s">
        <v>46</v>
      </c>
      <c r="M4" s="5" t="s">
        <v>47</v>
      </c>
      <c r="N4" s="5" t="s">
        <v>48</v>
      </c>
      <c r="O4" s="5" t="s">
        <v>49</v>
      </c>
      <c r="P4" s="5" t="s">
        <v>50</v>
      </c>
    </row>
    <row r="5" customFormat="false" ht="15" hidden="false" customHeight="false" outlineLevel="0" collapsed="false">
      <c r="A5" s="19" t="s">
        <v>51</v>
      </c>
      <c r="B5" s="20" t="s">
        <v>12</v>
      </c>
      <c r="C5" s="21" t="s">
        <v>52</v>
      </c>
      <c r="D5" s="21" t="s">
        <v>53</v>
      </c>
      <c r="E5" s="22" t="s">
        <v>19</v>
      </c>
      <c r="F5" s="23" t="n">
        <v>46286</v>
      </c>
      <c r="G5" s="23" t="n">
        <v>46304</v>
      </c>
      <c r="H5" s="24" t="n">
        <f aca="false">IF(OR(F5="",G5=""),"",G5-F5)</f>
        <v>18</v>
      </c>
      <c r="I5" s="25" t="n">
        <v>1</v>
      </c>
      <c r="J5" s="26" t="s">
        <v>54</v>
      </c>
      <c r="K5" s="19" t="str">
        <f aca="false">IF(J5="Yes","Blocked",IF(I5&gt;=1,"Complete",IF(I5&gt;0,"In Progress","Not Started")))</f>
        <v>Complete</v>
      </c>
      <c r="L5" s="19" t="str">
        <f aca="false">IF(K5="Complete","Done",IF(K5="Blocked","Blocked",IF(OR(F5="",G5=""),"No dates",IF(G5&lt;Summary!$C$3,"OVERDUE",IF(G5-Summary!$C$3&lt;=7,"Due in 7 days","On track")))))</f>
        <v>Done</v>
      </c>
      <c r="M5" s="22"/>
      <c r="N5" s="19" t="n">
        <v>2</v>
      </c>
      <c r="O5" s="22"/>
      <c r="P5" s="19" t="s">
        <v>55</v>
      </c>
    </row>
    <row r="6" customFormat="false" ht="23.85" hidden="false" customHeight="false" outlineLevel="0" collapsed="false">
      <c r="A6" s="19" t="s">
        <v>56</v>
      </c>
      <c r="B6" s="20" t="s">
        <v>12</v>
      </c>
      <c r="C6" s="21" t="s">
        <v>57</v>
      </c>
      <c r="D6" s="21" t="s">
        <v>58</v>
      </c>
      <c r="E6" s="22" t="s">
        <v>19</v>
      </c>
      <c r="F6" s="23" t="n">
        <v>46293</v>
      </c>
      <c r="G6" s="23" t="n">
        <v>46318</v>
      </c>
      <c r="H6" s="24" t="n">
        <f aca="false">IF(OR(F6="",G6=""),"",G6-F6)</f>
        <v>25</v>
      </c>
      <c r="I6" s="25" t="n">
        <v>0.1</v>
      </c>
      <c r="J6" s="26" t="s">
        <v>54</v>
      </c>
      <c r="K6" s="19" t="str">
        <f aca="false">IF(J6="Yes","Blocked",IF(I6&gt;=1,"Complete",IF(I6&gt;0,"In Progress","Not Started")))</f>
        <v>In Progress</v>
      </c>
      <c r="L6" s="19" t="str">
        <f aca="false">IF(K6="Complete","Done",IF(K6="Blocked","Blocked",IF(OR(F6="",G6=""),"No dates",IF(G6&lt;Summary!$C$3,"OVERDUE",IF(G6-Summary!$C$3&lt;=7,"Due in 7 days","On track")))))</f>
        <v>On track</v>
      </c>
      <c r="M6" s="22"/>
      <c r="N6" s="19" t="n">
        <v>6</v>
      </c>
      <c r="O6" s="22" t="s">
        <v>59</v>
      </c>
      <c r="P6" s="19" t="s">
        <v>55</v>
      </c>
    </row>
    <row r="7" customFormat="false" ht="23.85" hidden="false" customHeight="false" outlineLevel="0" collapsed="false">
      <c r="A7" s="19" t="s">
        <v>60</v>
      </c>
      <c r="B7" s="20" t="s">
        <v>12</v>
      </c>
      <c r="C7" s="21" t="s">
        <v>61</v>
      </c>
      <c r="D7" s="21" t="s">
        <v>62</v>
      </c>
      <c r="E7" s="22" t="s">
        <v>19</v>
      </c>
      <c r="F7" s="23" t="n">
        <v>46304</v>
      </c>
      <c r="G7" s="23" t="n">
        <v>46318</v>
      </c>
      <c r="H7" s="24" t="n">
        <f aca="false">IF(OR(F7="",G7=""),"",G7-F7)</f>
        <v>14</v>
      </c>
      <c r="I7" s="25" t="n">
        <v>0.2</v>
      </c>
      <c r="J7" s="26" t="s">
        <v>54</v>
      </c>
      <c r="K7" s="19" t="str">
        <f aca="false">IF(J7="Yes","Blocked",IF(I7&gt;=1,"Complete",IF(I7&gt;0,"In Progress","Not Started")))</f>
        <v>In Progress</v>
      </c>
      <c r="L7" s="19" t="str">
        <f aca="false">IF(K7="Complete","Done",IF(K7="Blocked","Blocked",IF(OR(F7="",G7=""),"No dates",IF(G7&lt;Summary!$C$3,"OVERDUE",IF(G7-Summary!$C$3&lt;=7,"Due in 7 days","On track")))))</f>
        <v>On track</v>
      </c>
      <c r="M7" s="22"/>
      <c r="N7" s="19" t="n">
        <v>10</v>
      </c>
      <c r="O7" s="22" t="s">
        <v>63</v>
      </c>
      <c r="P7" s="19" t="s">
        <v>55</v>
      </c>
    </row>
    <row r="8" customFormat="false" ht="15" hidden="false" customHeight="false" outlineLevel="0" collapsed="false">
      <c r="A8" s="19" t="s">
        <v>64</v>
      </c>
      <c r="B8" s="20" t="s">
        <v>12</v>
      </c>
      <c r="C8" s="21" t="s">
        <v>65</v>
      </c>
      <c r="D8" s="21" t="s">
        <v>66</v>
      </c>
      <c r="E8" s="22" t="s">
        <v>19</v>
      </c>
      <c r="F8" s="23" t="n">
        <v>46286</v>
      </c>
      <c r="G8" s="23" t="n">
        <v>46304</v>
      </c>
      <c r="H8" s="24" t="n">
        <f aca="false">IF(OR(F8="",G8=""),"",G8-F8)</f>
        <v>18</v>
      </c>
      <c r="I8" s="25" t="n">
        <v>0</v>
      </c>
      <c r="J8" s="26" t="s">
        <v>54</v>
      </c>
      <c r="K8" s="19" t="str">
        <f aca="false">IF(J8="Yes","Blocked",IF(I8&gt;=1,"Complete",IF(I8&gt;0,"In Progress","Not Started")))</f>
        <v>Not Started</v>
      </c>
      <c r="L8" s="19" t="str">
        <f aca="false">IF(K8="Complete","Done",IF(K8="Blocked","Blocked",IF(OR(F8="",G8=""),"No dates",IF(G8&lt;Summary!$C$3,"OVERDUE",IF(G8-Summary!$C$3&lt;=7,"Due in 7 days","On track")))))</f>
        <v>OVERDUE</v>
      </c>
      <c r="M8" s="22"/>
      <c r="N8" s="19" t="n">
        <v>39</v>
      </c>
      <c r="O8" s="22"/>
      <c r="P8" s="19" t="s">
        <v>55</v>
      </c>
    </row>
    <row r="9" customFormat="false" ht="23.85" hidden="false" customHeight="false" outlineLevel="0" collapsed="false">
      <c r="A9" s="19" t="s">
        <v>67</v>
      </c>
      <c r="B9" s="20" t="s">
        <v>12</v>
      </c>
      <c r="C9" s="21" t="s">
        <v>68</v>
      </c>
      <c r="D9" s="21" t="s">
        <v>69</v>
      </c>
      <c r="E9" s="22" t="s">
        <v>23</v>
      </c>
      <c r="F9" s="23"/>
      <c r="G9" s="23"/>
      <c r="H9" s="24" t="str">
        <f aca="false">IF(OR(F9="",G9=""),"",G9-F9)</f>
        <v/>
      </c>
      <c r="I9" s="25" t="n">
        <v>0</v>
      </c>
      <c r="J9" s="26" t="s">
        <v>54</v>
      </c>
      <c r="K9" s="19" t="str">
        <f aca="false">IF(J9="Yes","Blocked",IF(I9&gt;=1,"Complete",IF(I9&gt;0,"In Progress","Not Started")))</f>
        <v>Not Started</v>
      </c>
      <c r="L9" s="19" t="str">
        <f aca="false">IF(K9="Complete","Done",IF(K9="Blocked","Blocked",IF(OR(F9="",G9=""),"No dates",IF(G9&lt;Summary!$C$3,"OVERDUE",IF(G9-Summary!$C$3&lt;=7,"Due in 7 days","On track")))))</f>
        <v>No dates</v>
      </c>
      <c r="M9" s="22"/>
      <c r="N9" s="19" t="s">
        <v>70</v>
      </c>
      <c r="O9" s="22" t="s">
        <v>71</v>
      </c>
      <c r="P9" s="19" t="s">
        <v>72</v>
      </c>
    </row>
    <row r="10" customFormat="false" ht="15" hidden="false" customHeight="false" outlineLevel="0" collapsed="false">
      <c r="A10" s="19" t="s">
        <v>73</v>
      </c>
      <c r="B10" s="27" t="s">
        <v>13</v>
      </c>
      <c r="C10" s="21" t="s">
        <v>52</v>
      </c>
      <c r="D10" s="21" t="s">
        <v>74</v>
      </c>
      <c r="E10" s="22" t="s">
        <v>19</v>
      </c>
      <c r="F10" s="23" t="n">
        <v>46286</v>
      </c>
      <c r="G10" s="23" t="n">
        <v>46304</v>
      </c>
      <c r="H10" s="24" t="n">
        <f aca="false">IF(OR(F10="",G10=""),"",G10-F10)</f>
        <v>18</v>
      </c>
      <c r="I10" s="25" t="n">
        <v>0.9</v>
      </c>
      <c r="J10" s="26" t="s">
        <v>54</v>
      </c>
      <c r="K10" s="19" t="str">
        <f aca="false">IF(J10="Yes","Blocked",IF(I10&gt;=1,"Complete",IF(I10&gt;0,"In Progress","Not Started")))</f>
        <v>In Progress</v>
      </c>
      <c r="L10" s="19" t="str">
        <f aca="false">IF(K10="Complete","Done",IF(K10="Blocked","Blocked",IF(OR(F10="",G10=""),"No dates",IF(G10&lt;Summary!$C$3,"OVERDUE",IF(G10-Summary!$C$3&lt;=7,"Due in 7 days","On track")))))</f>
        <v>OVERDUE</v>
      </c>
      <c r="M10" s="22"/>
      <c r="N10" s="19" t="n">
        <v>3</v>
      </c>
      <c r="O10" s="22"/>
      <c r="P10" s="19" t="s">
        <v>55</v>
      </c>
    </row>
    <row r="11" customFormat="false" ht="15" hidden="false" customHeight="false" outlineLevel="0" collapsed="false">
      <c r="A11" s="19" t="s">
        <v>75</v>
      </c>
      <c r="B11" s="27" t="s">
        <v>13</v>
      </c>
      <c r="C11" s="21" t="s">
        <v>57</v>
      </c>
      <c r="D11" s="21" t="s">
        <v>76</v>
      </c>
      <c r="E11" s="22" t="s">
        <v>20</v>
      </c>
      <c r="F11" s="23" t="n">
        <v>46293</v>
      </c>
      <c r="G11" s="23" t="n">
        <v>46311</v>
      </c>
      <c r="H11" s="24" t="n">
        <f aca="false">IF(OR(F11="",G11=""),"",G11-F11)</f>
        <v>18</v>
      </c>
      <c r="I11" s="25" t="n">
        <v>1</v>
      </c>
      <c r="J11" s="26" t="s">
        <v>54</v>
      </c>
      <c r="K11" s="19" t="str">
        <f aca="false">IF(J11="Yes","Blocked",IF(I11&gt;=1,"Complete",IF(I11&gt;0,"In Progress","Not Started")))</f>
        <v>Complete</v>
      </c>
      <c r="L11" s="19" t="str">
        <f aca="false">IF(K11="Complete","Done",IF(K11="Blocked","Blocked",IF(OR(F11="",G11=""),"No dates",IF(G11&lt;Summary!$C$3,"OVERDUE",IF(G11-Summary!$C$3&lt;=7,"Due in 7 days","On track")))))</f>
        <v>Done</v>
      </c>
      <c r="M11" s="22"/>
      <c r="N11" s="19" t="n">
        <v>8</v>
      </c>
      <c r="O11" s="22"/>
      <c r="P11" s="19" t="s">
        <v>55</v>
      </c>
    </row>
    <row r="12" customFormat="false" ht="15" hidden="false" customHeight="false" outlineLevel="0" collapsed="false">
      <c r="A12" s="19" t="s">
        <v>77</v>
      </c>
      <c r="B12" s="27" t="s">
        <v>13</v>
      </c>
      <c r="C12" s="21" t="s">
        <v>78</v>
      </c>
      <c r="D12" s="21" t="s">
        <v>79</v>
      </c>
      <c r="E12" s="22" t="s">
        <v>20</v>
      </c>
      <c r="F12" s="23" t="n">
        <v>46293</v>
      </c>
      <c r="G12" s="23" t="n">
        <v>46296</v>
      </c>
      <c r="H12" s="24" t="n">
        <f aca="false">IF(OR(F12="",G12=""),"",G12-F12)</f>
        <v>3</v>
      </c>
      <c r="I12" s="25" t="n">
        <v>1</v>
      </c>
      <c r="J12" s="26" t="s">
        <v>54</v>
      </c>
      <c r="K12" s="19" t="str">
        <f aca="false">IF(J12="Yes","Blocked",IF(I12&gt;=1,"Complete",IF(I12&gt;0,"In Progress","Not Started")))</f>
        <v>Complete</v>
      </c>
      <c r="L12" s="19" t="str">
        <f aca="false">IF(K12="Complete","Done",IF(K12="Blocked","Blocked",IF(OR(F12="",G12=""),"No dates",IF(G12&lt;Summary!$C$3,"OVERDUE",IF(G12-Summary!$C$3&lt;=7,"Due in 7 days","On track")))))</f>
        <v>Done</v>
      </c>
      <c r="M12" s="22"/>
      <c r="N12" s="19" t="n">
        <v>9</v>
      </c>
      <c r="O12" s="22"/>
      <c r="P12" s="19" t="s">
        <v>55</v>
      </c>
    </row>
    <row r="13" customFormat="false" ht="23.85" hidden="false" customHeight="false" outlineLevel="0" collapsed="false">
      <c r="A13" s="19" t="s">
        <v>80</v>
      </c>
      <c r="B13" s="27" t="s">
        <v>13</v>
      </c>
      <c r="C13" s="21" t="s">
        <v>61</v>
      </c>
      <c r="D13" s="21" t="s">
        <v>81</v>
      </c>
      <c r="E13" s="22" t="s">
        <v>19</v>
      </c>
      <c r="F13" s="23" t="n">
        <v>46304</v>
      </c>
      <c r="G13" s="23" t="n">
        <v>46318</v>
      </c>
      <c r="H13" s="24" t="n">
        <f aca="false">IF(OR(F13="",G13=""),"",G13-F13)</f>
        <v>14</v>
      </c>
      <c r="I13" s="25" t="n">
        <v>0.2</v>
      </c>
      <c r="J13" s="26" t="s">
        <v>54</v>
      </c>
      <c r="K13" s="19" t="str">
        <f aca="false">IF(J13="Yes","Blocked",IF(I13&gt;=1,"Complete",IF(I13&gt;0,"In Progress","Not Started")))</f>
        <v>In Progress</v>
      </c>
      <c r="L13" s="19" t="str">
        <f aca="false">IF(K13="Complete","Done",IF(K13="Blocked","Blocked",IF(OR(F13="",G13=""),"No dates",IF(G13&lt;Summary!$C$3,"OVERDUE",IF(G13-Summary!$C$3&lt;=7,"Due in 7 days","On track")))))</f>
        <v>On track</v>
      </c>
      <c r="M13" s="22"/>
      <c r="N13" s="19" t="n">
        <v>12</v>
      </c>
      <c r="O13" s="22" t="s">
        <v>82</v>
      </c>
      <c r="P13" s="19" t="s">
        <v>55</v>
      </c>
    </row>
    <row r="14" customFormat="false" ht="15" hidden="false" customHeight="false" outlineLevel="0" collapsed="false">
      <c r="A14" s="19" t="s">
        <v>83</v>
      </c>
      <c r="B14" s="27" t="s">
        <v>13</v>
      </c>
      <c r="C14" s="21" t="s">
        <v>61</v>
      </c>
      <c r="D14" s="21" t="s">
        <v>84</v>
      </c>
      <c r="E14" s="22" t="s">
        <v>20</v>
      </c>
      <c r="F14" s="23" t="n">
        <v>46293</v>
      </c>
      <c r="G14" s="23" t="n">
        <v>46311</v>
      </c>
      <c r="H14" s="24" t="n">
        <f aca="false">IF(OR(F14="",G14=""),"",G14-F14)</f>
        <v>18</v>
      </c>
      <c r="I14" s="25" t="n">
        <v>1</v>
      </c>
      <c r="J14" s="26" t="s">
        <v>54</v>
      </c>
      <c r="K14" s="19" t="str">
        <f aca="false">IF(J14="Yes","Blocked",IF(I14&gt;=1,"Complete",IF(I14&gt;0,"In Progress","Not Started")))</f>
        <v>Complete</v>
      </c>
      <c r="L14" s="19" t="str">
        <f aca="false">IF(K14="Complete","Done",IF(K14="Blocked","Blocked",IF(OR(F14="",G14=""),"No dates",IF(G14&lt;Summary!$C$3,"OVERDUE",IF(G14-Summary!$C$3&lt;=7,"Due in 7 days","On track")))))</f>
        <v>Done</v>
      </c>
      <c r="M14" s="22"/>
      <c r="N14" s="19" t="n">
        <v>13</v>
      </c>
      <c r="O14" s="22"/>
      <c r="P14" s="19" t="s">
        <v>55</v>
      </c>
    </row>
    <row r="15" customFormat="false" ht="15" hidden="false" customHeight="false" outlineLevel="0" collapsed="false">
      <c r="A15" s="19" t="s">
        <v>85</v>
      </c>
      <c r="B15" s="27" t="s">
        <v>13</v>
      </c>
      <c r="C15" s="21" t="s">
        <v>86</v>
      </c>
      <c r="D15" s="21" t="s">
        <v>87</v>
      </c>
      <c r="E15" s="22" t="s">
        <v>23</v>
      </c>
      <c r="F15" s="23"/>
      <c r="G15" s="23"/>
      <c r="H15" s="24" t="str">
        <f aca="false">IF(OR(F15="",G15=""),"",G15-F15)</f>
        <v/>
      </c>
      <c r="I15" s="25" t="n">
        <v>0</v>
      </c>
      <c r="J15" s="26" t="s">
        <v>88</v>
      </c>
      <c r="K15" s="19" t="str">
        <f aca="false">IF(J15="Yes","Blocked",IF(I15&gt;=1,"Complete",IF(I15&gt;0,"In Progress","Not Started")))</f>
        <v>Blocked</v>
      </c>
      <c r="L15" s="19" t="str">
        <f aca="false">IF(K15="Complete","Done",IF(K15="Blocked","Blocked",IF(OR(F15="",G15=""),"No dates",IF(G15&lt;Summary!$C$3,"OVERDUE",IF(G15-Summary!$C$3&lt;=7,"Due in 7 days","On track")))))</f>
        <v>Blocked</v>
      </c>
      <c r="M15" s="22" t="s">
        <v>89</v>
      </c>
      <c r="N15" s="19" t="n">
        <v>31</v>
      </c>
      <c r="O15" s="22"/>
      <c r="P15" s="19" t="s">
        <v>55</v>
      </c>
    </row>
    <row r="16" customFormat="false" ht="35.05" hidden="false" customHeight="false" outlineLevel="0" collapsed="false">
      <c r="A16" s="19" t="s">
        <v>90</v>
      </c>
      <c r="B16" s="27" t="s">
        <v>13</v>
      </c>
      <c r="C16" s="21" t="s">
        <v>86</v>
      </c>
      <c r="D16" s="21" t="s">
        <v>91</v>
      </c>
      <c r="E16" s="22" t="s">
        <v>23</v>
      </c>
      <c r="F16" s="23"/>
      <c r="G16" s="23"/>
      <c r="H16" s="24" t="str">
        <f aca="false">IF(OR(F16="",G16=""),"",G16-F16)</f>
        <v/>
      </c>
      <c r="I16" s="25" t="n">
        <v>0</v>
      </c>
      <c r="J16" s="26" t="s">
        <v>88</v>
      </c>
      <c r="K16" s="19" t="str">
        <f aca="false">IF(J16="Yes","Blocked",IF(I16&gt;=1,"Complete",IF(I16&gt;0,"In Progress","Not Started")))</f>
        <v>Blocked</v>
      </c>
      <c r="L16" s="19" t="str">
        <f aca="false">IF(K16="Complete","Done",IF(K16="Blocked","Blocked",IF(OR(F16="",G16=""),"No dates",IF(G16&lt;Summary!$C$3,"OVERDUE",IF(G16-Summary!$C$3&lt;=7,"Due in 7 days","On track")))))</f>
        <v>Blocked</v>
      </c>
      <c r="M16" s="22" t="s">
        <v>89</v>
      </c>
      <c r="N16" s="19" t="n">
        <v>32</v>
      </c>
      <c r="O16" s="22" t="s">
        <v>92</v>
      </c>
      <c r="P16" s="19" t="s">
        <v>55</v>
      </c>
    </row>
    <row r="17" customFormat="false" ht="23.85" hidden="false" customHeight="false" outlineLevel="0" collapsed="false">
      <c r="A17" s="19" t="s">
        <v>93</v>
      </c>
      <c r="B17" s="27" t="s">
        <v>13</v>
      </c>
      <c r="C17" s="21" t="s">
        <v>86</v>
      </c>
      <c r="D17" s="21" t="s">
        <v>94</v>
      </c>
      <c r="E17" s="22" t="s">
        <v>23</v>
      </c>
      <c r="F17" s="23"/>
      <c r="G17" s="23"/>
      <c r="H17" s="24" t="str">
        <f aca="false">IF(OR(F17="",G17=""),"",G17-F17)</f>
        <v/>
      </c>
      <c r="I17" s="25" t="n">
        <v>0</v>
      </c>
      <c r="J17" s="26" t="s">
        <v>88</v>
      </c>
      <c r="K17" s="19" t="str">
        <f aca="false">IF(J17="Yes","Blocked",IF(I17&gt;=1,"Complete",IF(I17&gt;0,"In Progress","Not Started")))</f>
        <v>Blocked</v>
      </c>
      <c r="L17" s="19" t="str">
        <f aca="false">IF(K17="Complete","Done",IF(K17="Blocked","Blocked",IF(OR(F17="",G17=""),"No dates",IF(G17&lt;Summary!$C$3,"OVERDUE",IF(G17-Summary!$C$3&lt;=7,"Due in 7 days","On track")))))</f>
        <v>Blocked</v>
      </c>
      <c r="M17" s="22" t="s">
        <v>95</v>
      </c>
      <c r="N17" s="19" t="n">
        <v>33</v>
      </c>
      <c r="O17" s="22" t="s">
        <v>96</v>
      </c>
      <c r="P17" s="19" t="s">
        <v>55</v>
      </c>
    </row>
    <row r="18" customFormat="false" ht="15" hidden="false" customHeight="false" outlineLevel="0" collapsed="false">
      <c r="A18" s="19" t="s">
        <v>97</v>
      </c>
      <c r="B18" s="27" t="s">
        <v>13</v>
      </c>
      <c r="C18" s="21" t="s">
        <v>86</v>
      </c>
      <c r="D18" s="21" t="s">
        <v>98</v>
      </c>
      <c r="E18" s="22" t="s">
        <v>23</v>
      </c>
      <c r="F18" s="23"/>
      <c r="G18" s="23"/>
      <c r="H18" s="24" t="str">
        <f aca="false">IF(OR(F18="",G18=""),"",G18-F18)</f>
        <v/>
      </c>
      <c r="I18" s="25" t="n">
        <v>0</v>
      </c>
      <c r="J18" s="26" t="s">
        <v>88</v>
      </c>
      <c r="K18" s="19" t="str">
        <f aca="false">IF(J18="Yes","Blocked",IF(I18&gt;=1,"Complete",IF(I18&gt;0,"In Progress","Not Started")))</f>
        <v>Blocked</v>
      </c>
      <c r="L18" s="19" t="str">
        <f aca="false">IF(K18="Complete","Done",IF(K18="Blocked","Blocked",IF(OR(F18="",G18=""),"No dates",IF(G18&lt;Summary!$C$3,"OVERDUE",IF(G18-Summary!$C$3&lt;=7,"Due in 7 days","On track")))))</f>
        <v>Blocked</v>
      </c>
      <c r="M18" s="22" t="s">
        <v>89</v>
      </c>
      <c r="N18" s="19" t="n">
        <v>34</v>
      </c>
      <c r="O18" s="22"/>
      <c r="P18" s="19" t="s">
        <v>55</v>
      </c>
    </row>
    <row r="19" customFormat="false" ht="35.05" hidden="false" customHeight="false" outlineLevel="0" collapsed="false">
      <c r="A19" s="19" t="s">
        <v>99</v>
      </c>
      <c r="B19" s="27" t="s">
        <v>13</v>
      </c>
      <c r="C19" s="21" t="s">
        <v>100</v>
      </c>
      <c r="D19" s="21" t="s">
        <v>101</v>
      </c>
      <c r="E19" s="22" t="s">
        <v>23</v>
      </c>
      <c r="F19" s="23"/>
      <c r="G19" s="23"/>
      <c r="H19" s="24" t="str">
        <f aca="false">IF(OR(F19="",G19=""),"",G19-F19)</f>
        <v/>
      </c>
      <c r="I19" s="25" t="n">
        <v>0</v>
      </c>
      <c r="J19" s="26" t="s">
        <v>88</v>
      </c>
      <c r="K19" s="19" t="str">
        <f aca="false">IF(J19="Yes","Blocked",IF(I19&gt;=1,"Complete",IF(I19&gt;0,"In Progress","Not Started")))</f>
        <v>Blocked</v>
      </c>
      <c r="L19" s="19" t="str">
        <f aca="false">IF(K19="Complete","Done",IF(K19="Blocked","Blocked",IF(OR(F19="",G19=""),"No dates",IF(G19&lt;Summary!$C$3,"OVERDUE",IF(G19-Summary!$C$3&lt;=7,"Due in 7 days","On track")))))</f>
        <v>Blocked</v>
      </c>
      <c r="M19" s="22" t="s">
        <v>102</v>
      </c>
      <c r="N19" s="19" t="n">
        <v>35</v>
      </c>
      <c r="O19" s="22" t="s">
        <v>103</v>
      </c>
      <c r="P19" s="19" t="s">
        <v>55</v>
      </c>
    </row>
    <row r="20" customFormat="false" ht="35.05" hidden="false" customHeight="false" outlineLevel="0" collapsed="false">
      <c r="A20" s="19" t="s">
        <v>104</v>
      </c>
      <c r="B20" s="27" t="s">
        <v>13</v>
      </c>
      <c r="C20" s="21" t="s">
        <v>100</v>
      </c>
      <c r="D20" s="21" t="s">
        <v>105</v>
      </c>
      <c r="E20" s="22" t="s">
        <v>23</v>
      </c>
      <c r="F20" s="23"/>
      <c r="G20" s="23"/>
      <c r="H20" s="24" t="str">
        <f aca="false">IF(OR(F20="",G20=""),"",G20-F20)</f>
        <v/>
      </c>
      <c r="I20" s="25" t="n">
        <v>0</v>
      </c>
      <c r="J20" s="26" t="s">
        <v>88</v>
      </c>
      <c r="K20" s="19" t="str">
        <f aca="false">IF(J20="Yes","Blocked",IF(I20&gt;=1,"Complete",IF(I20&gt;0,"In Progress","Not Started")))</f>
        <v>Blocked</v>
      </c>
      <c r="L20" s="19" t="str">
        <f aca="false">IF(K20="Complete","Done",IF(K20="Blocked","Blocked",IF(OR(F20="",G20=""),"No dates",IF(G20&lt;Summary!$C$3,"OVERDUE",IF(G20-Summary!$C$3&lt;=7,"Due in 7 days","On track")))))</f>
        <v>Blocked</v>
      </c>
      <c r="M20" s="22" t="s">
        <v>106</v>
      </c>
      <c r="N20" s="19" t="n">
        <v>36</v>
      </c>
      <c r="O20" s="22" t="s">
        <v>107</v>
      </c>
      <c r="P20" s="19" t="s">
        <v>55</v>
      </c>
    </row>
    <row r="21" customFormat="false" ht="35.05" hidden="false" customHeight="false" outlineLevel="0" collapsed="false">
      <c r="A21" s="19" t="s">
        <v>108</v>
      </c>
      <c r="B21" s="27" t="s">
        <v>13</v>
      </c>
      <c r="C21" s="21" t="s">
        <v>100</v>
      </c>
      <c r="D21" s="21" t="s">
        <v>109</v>
      </c>
      <c r="E21" s="22" t="s">
        <v>23</v>
      </c>
      <c r="F21" s="23"/>
      <c r="G21" s="23"/>
      <c r="H21" s="24" t="str">
        <f aca="false">IF(OR(F21="",G21=""),"",G21-F21)</f>
        <v/>
      </c>
      <c r="I21" s="25" t="n">
        <v>0</v>
      </c>
      <c r="J21" s="26" t="s">
        <v>88</v>
      </c>
      <c r="K21" s="19" t="str">
        <f aca="false">IF(J21="Yes","Blocked",IF(I21&gt;=1,"Complete",IF(I21&gt;0,"In Progress","Not Started")))</f>
        <v>Blocked</v>
      </c>
      <c r="L21" s="19" t="str">
        <f aca="false">IF(K21="Complete","Done",IF(K21="Blocked","Blocked",IF(OR(F21="",G21=""),"No dates",IF(G21&lt;Summary!$C$3,"OVERDUE",IF(G21-Summary!$C$3&lt;=7,"Due in 7 days","On track")))))</f>
        <v>Blocked</v>
      </c>
      <c r="M21" s="22" t="s">
        <v>106</v>
      </c>
      <c r="N21" s="19" t="n">
        <v>37</v>
      </c>
      <c r="O21" s="22"/>
      <c r="P21" s="19" t="s">
        <v>55</v>
      </c>
    </row>
    <row r="22" customFormat="false" ht="35.05" hidden="false" customHeight="false" outlineLevel="0" collapsed="false">
      <c r="A22" s="19" t="s">
        <v>110</v>
      </c>
      <c r="B22" s="27" t="s">
        <v>13</v>
      </c>
      <c r="C22" s="21" t="s">
        <v>100</v>
      </c>
      <c r="D22" s="21" t="s">
        <v>111</v>
      </c>
      <c r="E22" s="22" t="s">
        <v>23</v>
      </c>
      <c r="F22" s="23"/>
      <c r="G22" s="23"/>
      <c r="H22" s="24" t="str">
        <f aca="false">IF(OR(F22="",G22=""),"",G22-F22)</f>
        <v/>
      </c>
      <c r="I22" s="25" t="n">
        <v>0</v>
      </c>
      <c r="J22" s="26" t="s">
        <v>88</v>
      </c>
      <c r="K22" s="19" t="str">
        <f aca="false">IF(J22="Yes","Blocked",IF(I22&gt;=1,"Complete",IF(I22&gt;0,"In Progress","Not Started")))</f>
        <v>Blocked</v>
      </c>
      <c r="L22" s="19" t="str">
        <f aca="false">IF(K22="Complete","Done",IF(K22="Blocked","Blocked",IF(OR(F22="",G22=""),"No dates",IF(G22&lt;Summary!$C$3,"OVERDUE",IF(G22-Summary!$C$3&lt;=7,"Due in 7 days","On track")))))</f>
        <v>Blocked</v>
      </c>
      <c r="M22" s="22" t="s">
        <v>106</v>
      </c>
      <c r="N22" s="19" t="n">
        <v>38</v>
      </c>
      <c r="O22" s="22"/>
      <c r="P22" s="19" t="s">
        <v>55</v>
      </c>
    </row>
    <row r="23" customFormat="false" ht="15" hidden="false" customHeight="false" outlineLevel="0" collapsed="false">
      <c r="A23" s="19" t="s">
        <v>112</v>
      </c>
      <c r="B23" s="27" t="s">
        <v>13</v>
      </c>
      <c r="C23" s="21" t="s">
        <v>65</v>
      </c>
      <c r="D23" s="21" t="s">
        <v>113</v>
      </c>
      <c r="E23" s="22" t="s">
        <v>19</v>
      </c>
      <c r="F23" s="23" t="n">
        <v>46304</v>
      </c>
      <c r="G23" s="23" t="n">
        <v>46318</v>
      </c>
      <c r="H23" s="24" t="n">
        <f aca="false">IF(OR(F23="",G23=""),"",G23-F23)</f>
        <v>14</v>
      </c>
      <c r="I23" s="25" t="n">
        <v>0</v>
      </c>
      <c r="J23" s="26" t="s">
        <v>54</v>
      </c>
      <c r="K23" s="19" t="str">
        <f aca="false">IF(J23="Yes","Blocked",IF(I23&gt;=1,"Complete",IF(I23&gt;0,"In Progress","Not Started")))</f>
        <v>Not Started</v>
      </c>
      <c r="L23" s="19" t="str">
        <f aca="false">IF(K23="Complete","Done",IF(K23="Blocked","Blocked",IF(OR(F23="",G23=""),"No dates",IF(G23&lt;Summary!$C$3,"OVERDUE",IF(G23-Summary!$C$3&lt;=7,"Due in 7 days","On track")))))</f>
        <v>On track</v>
      </c>
      <c r="M23" s="22"/>
      <c r="N23" s="19" t="n">
        <v>41</v>
      </c>
      <c r="O23" s="22"/>
      <c r="P23" s="19" t="s">
        <v>55</v>
      </c>
    </row>
    <row r="24" customFormat="false" ht="15" hidden="false" customHeight="false" outlineLevel="0" collapsed="false">
      <c r="A24" s="19" t="s">
        <v>114</v>
      </c>
      <c r="B24" s="27" t="s">
        <v>13</v>
      </c>
      <c r="C24" s="21" t="s">
        <v>65</v>
      </c>
      <c r="D24" s="21" t="s">
        <v>115</v>
      </c>
      <c r="E24" s="22" t="s">
        <v>23</v>
      </c>
      <c r="F24" s="23"/>
      <c r="G24" s="23"/>
      <c r="H24" s="24" t="str">
        <f aca="false">IF(OR(F24="",G24=""),"",G24-F24)</f>
        <v/>
      </c>
      <c r="I24" s="25" t="n">
        <v>0</v>
      </c>
      <c r="J24" s="26" t="s">
        <v>88</v>
      </c>
      <c r="K24" s="19" t="str">
        <f aca="false">IF(J24="Yes","Blocked",IF(I24&gt;=1,"Complete",IF(I24&gt;0,"In Progress","Not Started")))</f>
        <v>Blocked</v>
      </c>
      <c r="L24" s="19" t="str">
        <f aca="false">IF(K24="Complete","Done",IF(K24="Blocked","Blocked",IF(OR(F24="",G24=""),"No dates",IF(G24&lt;Summary!$C$3,"OVERDUE",IF(G24-Summary!$C$3&lt;=7,"Due in 7 days","On track")))))</f>
        <v>Blocked</v>
      </c>
      <c r="M24" s="22" t="s">
        <v>116</v>
      </c>
      <c r="N24" s="19" t="n">
        <v>42</v>
      </c>
      <c r="O24" s="22"/>
      <c r="P24" s="19" t="s">
        <v>55</v>
      </c>
    </row>
    <row r="25" customFormat="false" ht="15" hidden="false" customHeight="false" outlineLevel="0" collapsed="false">
      <c r="A25" s="19" t="s">
        <v>117</v>
      </c>
      <c r="B25" s="27" t="s">
        <v>13</v>
      </c>
      <c r="C25" s="21" t="s">
        <v>65</v>
      </c>
      <c r="D25" s="21" t="s">
        <v>118</v>
      </c>
      <c r="E25" s="22" t="s">
        <v>20</v>
      </c>
      <c r="F25" s="23" t="n">
        <v>46304</v>
      </c>
      <c r="G25" s="23" t="n">
        <v>46318</v>
      </c>
      <c r="H25" s="24" t="n">
        <f aca="false">IF(OR(F25="",G25=""),"",G25-F25)</f>
        <v>14</v>
      </c>
      <c r="I25" s="25" t="n">
        <v>0</v>
      </c>
      <c r="J25" s="26" t="s">
        <v>54</v>
      </c>
      <c r="K25" s="19" t="str">
        <f aca="false">IF(J25="Yes","Blocked",IF(I25&gt;=1,"Complete",IF(I25&gt;0,"In Progress","Not Started")))</f>
        <v>Not Started</v>
      </c>
      <c r="L25" s="19" t="str">
        <f aca="false">IF(K25="Complete","Done",IF(K25="Blocked","Blocked",IF(OR(F25="",G25=""),"No dates",IF(G25&lt;Summary!$C$3,"OVERDUE",IF(G25-Summary!$C$3&lt;=7,"Due in 7 days","On track")))))</f>
        <v>On track</v>
      </c>
      <c r="M25" s="22"/>
      <c r="N25" s="19" t="n">
        <v>43</v>
      </c>
      <c r="O25" s="22"/>
      <c r="P25" s="19" t="s">
        <v>55</v>
      </c>
    </row>
    <row r="26" customFormat="false" ht="23.85" hidden="false" customHeight="false" outlineLevel="0" collapsed="false">
      <c r="A26" s="19" t="s">
        <v>119</v>
      </c>
      <c r="B26" s="27" t="s">
        <v>13</v>
      </c>
      <c r="C26" s="21" t="s">
        <v>120</v>
      </c>
      <c r="D26" s="21" t="s">
        <v>121</v>
      </c>
      <c r="E26" s="22" t="s">
        <v>23</v>
      </c>
      <c r="F26" s="23"/>
      <c r="G26" s="23"/>
      <c r="H26" s="24" t="str">
        <f aca="false">IF(OR(F26="",G26=""),"",G26-F26)</f>
        <v/>
      </c>
      <c r="I26" s="25" t="n">
        <v>0</v>
      </c>
      <c r="J26" s="26" t="s">
        <v>88</v>
      </c>
      <c r="K26" s="19" t="str">
        <f aca="false">IF(J26="Yes","Blocked",IF(I26&gt;=1,"Complete",IF(I26&gt;0,"In Progress","Not Started")))</f>
        <v>Blocked</v>
      </c>
      <c r="L26" s="19" t="str">
        <f aca="false">IF(K26="Complete","Done",IF(K26="Blocked","Blocked",IF(OR(F26="",G26=""),"No dates",IF(G26&lt;Summary!$C$3,"OVERDUE",IF(G26-Summary!$C$3&lt;=7,"Due in 7 days","On track")))))</f>
        <v>Blocked</v>
      </c>
      <c r="M26" s="22" t="s">
        <v>122</v>
      </c>
      <c r="N26" s="19" t="n">
        <v>45</v>
      </c>
      <c r="O26" s="22" t="s">
        <v>123</v>
      </c>
      <c r="P26" s="19" t="s">
        <v>55</v>
      </c>
    </row>
    <row r="27" customFormat="false" ht="15" hidden="false" customHeight="false" outlineLevel="0" collapsed="false">
      <c r="A27" s="19" t="s">
        <v>124</v>
      </c>
      <c r="B27" s="27" t="s">
        <v>13</v>
      </c>
      <c r="C27" s="21" t="s">
        <v>120</v>
      </c>
      <c r="D27" s="21" t="s">
        <v>125</v>
      </c>
      <c r="E27" s="22" t="s">
        <v>23</v>
      </c>
      <c r="F27" s="23"/>
      <c r="G27" s="23"/>
      <c r="H27" s="24" t="str">
        <f aca="false">IF(OR(F27="",G27=""),"",G27-F27)</f>
        <v/>
      </c>
      <c r="I27" s="25" t="n">
        <v>0</v>
      </c>
      <c r="J27" s="26" t="s">
        <v>88</v>
      </c>
      <c r="K27" s="19" t="str">
        <f aca="false">IF(J27="Yes","Blocked",IF(I27&gt;=1,"Complete",IF(I27&gt;0,"In Progress","Not Started")))</f>
        <v>Blocked</v>
      </c>
      <c r="L27" s="19" t="str">
        <f aca="false">IF(K27="Complete","Done",IF(K27="Blocked","Blocked",IF(OR(F27="",G27=""),"No dates",IF(G27&lt;Summary!$C$3,"OVERDUE",IF(G27-Summary!$C$3&lt;=7,"Due in 7 days","On track")))))</f>
        <v>Blocked</v>
      </c>
      <c r="M27" s="22" t="s">
        <v>122</v>
      </c>
      <c r="N27" s="19" t="n">
        <v>46</v>
      </c>
      <c r="O27" s="22"/>
      <c r="P27" s="19" t="s">
        <v>55</v>
      </c>
    </row>
    <row r="28" customFormat="false" ht="15" hidden="false" customHeight="false" outlineLevel="0" collapsed="false">
      <c r="A28" s="19" t="s">
        <v>126</v>
      </c>
      <c r="B28" s="27" t="s">
        <v>13</v>
      </c>
      <c r="C28" s="21" t="s">
        <v>120</v>
      </c>
      <c r="D28" s="21" t="s">
        <v>127</v>
      </c>
      <c r="E28" s="22" t="s">
        <v>23</v>
      </c>
      <c r="F28" s="23"/>
      <c r="G28" s="23"/>
      <c r="H28" s="24" t="str">
        <f aca="false">IF(OR(F28="",G28=""),"",G28-F28)</f>
        <v/>
      </c>
      <c r="I28" s="25" t="n">
        <v>0</v>
      </c>
      <c r="J28" s="26" t="s">
        <v>88</v>
      </c>
      <c r="K28" s="19" t="str">
        <f aca="false">IF(J28="Yes","Blocked",IF(I28&gt;=1,"Complete",IF(I28&gt;0,"In Progress","Not Started")))</f>
        <v>Blocked</v>
      </c>
      <c r="L28" s="19" t="str">
        <f aca="false">IF(K28="Complete","Done",IF(K28="Blocked","Blocked",IF(OR(F28="",G28=""),"No dates",IF(G28&lt;Summary!$C$3,"OVERDUE",IF(G28-Summary!$C$3&lt;=7,"Due in 7 days","On track")))))</f>
        <v>Blocked</v>
      </c>
      <c r="M28" s="22" t="s">
        <v>116</v>
      </c>
      <c r="N28" s="19" t="n">
        <v>47</v>
      </c>
      <c r="O28" s="22"/>
      <c r="P28" s="19" t="s">
        <v>55</v>
      </c>
    </row>
    <row r="29" customFormat="false" ht="23.85" hidden="false" customHeight="false" outlineLevel="0" collapsed="false">
      <c r="A29" s="19" t="s">
        <v>128</v>
      </c>
      <c r="B29" s="27" t="s">
        <v>13</v>
      </c>
      <c r="C29" s="21" t="s">
        <v>129</v>
      </c>
      <c r="D29" s="21" t="s">
        <v>130</v>
      </c>
      <c r="E29" s="22" t="s">
        <v>23</v>
      </c>
      <c r="F29" s="23"/>
      <c r="G29" s="23"/>
      <c r="H29" s="24" t="str">
        <f aca="false">IF(OR(F29="",G29=""),"",G29-F29)</f>
        <v/>
      </c>
      <c r="I29" s="25" t="n">
        <v>0</v>
      </c>
      <c r="J29" s="26" t="s">
        <v>88</v>
      </c>
      <c r="K29" s="19" t="str">
        <f aca="false">IF(J29="Yes","Blocked",IF(I29&gt;=1,"Complete",IF(I29&gt;0,"In Progress","Not Started")))</f>
        <v>Blocked</v>
      </c>
      <c r="L29" s="19" t="str">
        <f aca="false">IF(K29="Complete","Done",IF(K29="Blocked","Blocked",IF(OR(F29="",G29=""),"No dates",IF(G29&lt;Summary!$C$3,"OVERDUE",IF(G29-Summary!$C$3&lt;=7,"Due in 7 days","On track")))))</f>
        <v>Blocked</v>
      </c>
      <c r="M29" s="22" t="s">
        <v>131</v>
      </c>
      <c r="N29" s="19" t="n">
        <v>49</v>
      </c>
      <c r="O29" s="22"/>
      <c r="P29" s="19" t="s">
        <v>55</v>
      </c>
    </row>
    <row r="30" customFormat="false" ht="23.85" hidden="false" customHeight="false" outlineLevel="0" collapsed="false">
      <c r="A30" s="19" t="s">
        <v>132</v>
      </c>
      <c r="B30" s="27" t="s">
        <v>13</v>
      </c>
      <c r="C30" s="21" t="s">
        <v>129</v>
      </c>
      <c r="D30" s="21" t="s">
        <v>133</v>
      </c>
      <c r="E30" s="22" t="s">
        <v>23</v>
      </c>
      <c r="F30" s="23"/>
      <c r="G30" s="23"/>
      <c r="H30" s="24" t="str">
        <f aca="false">IF(OR(F30="",G30=""),"",G30-F30)</f>
        <v/>
      </c>
      <c r="I30" s="25" t="n">
        <v>0</v>
      </c>
      <c r="J30" s="26" t="s">
        <v>88</v>
      </c>
      <c r="K30" s="19" t="str">
        <f aca="false">IF(J30="Yes","Blocked",IF(I30&gt;=1,"Complete",IF(I30&gt;0,"In Progress","Not Started")))</f>
        <v>Blocked</v>
      </c>
      <c r="L30" s="19" t="str">
        <f aca="false">IF(K30="Complete","Done",IF(K30="Blocked","Blocked",IF(OR(F30="",G30=""),"No dates",IF(G30&lt;Summary!$C$3,"OVERDUE",IF(G30-Summary!$C$3&lt;=7,"Due in 7 days","On track")))))</f>
        <v>Blocked</v>
      </c>
      <c r="M30" s="22" t="s">
        <v>131</v>
      </c>
      <c r="N30" s="19" t="n">
        <v>50</v>
      </c>
      <c r="O30" s="22"/>
      <c r="P30" s="19" t="s">
        <v>55</v>
      </c>
    </row>
    <row r="31" customFormat="false" ht="15" hidden="false" customHeight="false" outlineLevel="0" collapsed="false">
      <c r="A31" s="19" t="s">
        <v>134</v>
      </c>
      <c r="B31" s="27" t="s">
        <v>13</v>
      </c>
      <c r="C31" s="21" t="s">
        <v>129</v>
      </c>
      <c r="D31" s="21" t="s">
        <v>135</v>
      </c>
      <c r="E31" s="22" t="s">
        <v>23</v>
      </c>
      <c r="F31" s="23"/>
      <c r="G31" s="23"/>
      <c r="H31" s="24" t="str">
        <f aca="false">IF(OR(F31="",G31=""),"",G31-F31)</f>
        <v/>
      </c>
      <c r="I31" s="25" t="n">
        <v>0</v>
      </c>
      <c r="J31" s="26" t="s">
        <v>88</v>
      </c>
      <c r="K31" s="19" t="str">
        <f aca="false">IF(J31="Yes","Blocked",IF(I31&gt;=1,"Complete",IF(I31&gt;0,"In Progress","Not Started")))</f>
        <v>Blocked</v>
      </c>
      <c r="L31" s="19" t="str">
        <f aca="false">IF(K31="Complete","Done",IF(K31="Blocked","Blocked",IF(OR(F31="",G31=""),"No dates",IF(G31&lt;Summary!$C$3,"OVERDUE",IF(G31-Summary!$C$3&lt;=7,"Due in 7 days","On track")))))</f>
        <v>Blocked</v>
      </c>
      <c r="M31" s="22" t="s">
        <v>116</v>
      </c>
      <c r="N31" s="19" t="n">
        <v>51</v>
      </c>
      <c r="O31" s="22"/>
      <c r="P31" s="19" t="s">
        <v>55</v>
      </c>
    </row>
    <row r="32" customFormat="false" ht="15" hidden="false" customHeight="false" outlineLevel="0" collapsed="false">
      <c r="A32" s="19" t="s">
        <v>136</v>
      </c>
      <c r="B32" s="27" t="s">
        <v>13</v>
      </c>
      <c r="C32" s="21" t="s">
        <v>137</v>
      </c>
      <c r="D32" s="21" t="s">
        <v>87</v>
      </c>
      <c r="E32" s="22" t="s">
        <v>23</v>
      </c>
      <c r="F32" s="23"/>
      <c r="G32" s="23"/>
      <c r="H32" s="24" t="str">
        <f aca="false">IF(OR(F32="",G32=""),"",G32-F32)</f>
        <v/>
      </c>
      <c r="I32" s="25" t="n">
        <v>0</v>
      </c>
      <c r="J32" s="26" t="s">
        <v>88</v>
      </c>
      <c r="K32" s="19" t="str">
        <f aca="false">IF(J32="Yes","Blocked",IF(I32&gt;=1,"Complete",IF(I32&gt;0,"In Progress","Not Started")))</f>
        <v>Blocked</v>
      </c>
      <c r="L32" s="19" t="str">
        <f aca="false">IF(K32="Complete","Done",IF(K32="Blocked","Blocked",IF(OR(F32="",G32=""),"No dates",IF(G32&lt;Summary!$C$3,"OVERDUE",IF(G32-Summary!$C$3&lt;=7,"Due in 7 days","On track")))))</f>
        <v>Blocked</v>
      </c>
      <c r="M32" s="22" t="s">
        <v>89</v>
      </c>
      <c r="N32" s="19" t="n">
        <v>53</v>
      </c>
      <c r="O32" s="22"/>
      <c r="P32" s="19" t="s">
        <v>55</v>
      </c>
    </row>
    <row r="33" customFormat="false" ht="35.05" hidden="false" customHeight="false" outlineLevel="0" collapsed="false">
      <c r="A33" s="19" t="s">
        <v>138</v>
      </c>
      <c r="B33" s="27" t="s">
        <v>13</v>
      </c>
      <c r="C33" s="21" t="s">
        <v>137</v>
      </c>
      <c r="D33" s="21" t="s">
        <v>91</v>
      </c>
      <c r="E33" s="22" t="s">
        <v>23</v>
      </c>
      <c r="F33" s="23"/>
      <c r="G33" s="23"/>
      <c r="H33" s="24" t="str">
        <f aca="false">IF(OR(F33="",G33=""),"",G33-F33)</f>
        <v/>
      </c>
      <c r="I33" s="25" t="n">
        <v>0</v>
      </c>
      <c r="J33" s="26" t="s">
        <v>88</v>
      </c>
      <c r="K33" s="19" t="str">
        <f aca="false">IF(J33="Yes","Blocked",IF(I33&gt;=1,"Complete",IF(I33&gt;0,"In Progress","Not Started")))</f>
        <v>Blocked</v>
      </c>
      <c r="L33" s="19" t="str">
        <f aca="false">IF(K33="Complete","Done",IF(K33="Blocked","Blocked",IF(OR(F33="",G33=""),"No dates",IF(G33&lt;Summary!$C$3,"OVERDUE",IF(G33-Summary!$C$3&lt;=7,"Due in 7 days","On track")))))</f>
        <v>Blocked</v>
      </c>
      <c r="M33" s="22" t="s">
        <v>89</v>
      </c>
      <c r="N33" s="19" t="n">
        <v>54</v>
      </c>
      <c r="O33" s="22" t="s">
        <v>92</v>
      </c>
      <c r="P33" s="19" t="s">
        <v>55</v>
      </c>
    </row>
    <row r="34" customFormat="false" ht="23.85" hidden="false" customHeight="false" outlineLevel="0" collapsed="false">
      <c r="A34" s="19" t="s">
        <v>139</v>
      </c>
      <c r="B34" s="27" t="s">
        <v>13</v>
      </c>
      <c r="C34" s="21" t="s">
        <v>137</v>
      </c>
      <c r="D34" s="21" t="s">
        <v>94</v>
      </c>
      <c r="E34" s="22" t="s">
        <v>23</v>
      </c>
      <c r="F34" s="23"/>
      <c r="G34" s="23"/>
      <c r="H34" s="24" t="str">
        <f aca="false">IF(OR(F34="",G34=""),"",G34-F34)</f>
        <v/>
      </c>
      <c r="I34" s="25" t="n">
        <v>0</v>
      </c>
      <c r="J34" s="26" t="s">
        <v>88</v>
      </c>
      <c r="K34" s="19" t="str">
        <f aca="false">IF(J34="Yes","Blocked",IF(I34&gt;=1,"Complete",IF(I34&gt;0,"In Progress","Not Started")))</f>
        <v>Blocked</v>
      </c>
      <c r="L34" s="19" t="str">
        <f aca="false">IF(K34="Complete","Done",IF(K34="Blocked","Blocked",IF(OR(F34="",G34=""),"No dates",IF(G34&lt;Summary!$C$3,"OVERDUE",IF(G34-Summary!$C$3&lt;=7,"Due in 7 days","On track")))))</f>
        <v>Blocked</v>
      </c>
      <c r="M34" s="22" t="s">
        <v>95</v>
      </c>
      <c r="N34" s="19" t="n">
        <v>55</v>
      </c>
      <c r="O34" s="22" t="s">
        <v>96</v>
      </c>
      <c r="P34" s="19" t="s">
        <v>55</v>
      </c>
    </row>
    <row r="35" customFormat="false" ht="15" hidden="false" customHeight="false" outlineLevel="0" collapsed="false">
      <c r="A35" s="19" t="s">
        <v>140</v>
      </c>
      <c r="B35" s="27" t="s">
        <v>13</v>
      </c>
      <c r="C35" s="21" t="s">
        <v>137</v>
      </c>
      <c r="D35" s="21" t="s">
        <v>141</v>
      </c>
      <c r="E35" s="22" t="s">
        <v>23</v>
      </c>
      <c r="F35" s="23"/>
      <c r="G35" s="23"/>
      <c r="H35" s="24" t="str">
        <f aca="false">IF(OR(F35="",G35=""),"",G35-F35)</f>
        <v/>
      </c>
      <c r="I35" s="25" t="n">
        <v>0</v>
      </c>
      <c r="J35" s="26" t="s">
        <v>88</v>
      </c>
      <c r="K35" s="19" t="str">
        <f aca="false">IF(J35="Yes","Blocked",IF(I35&gt;=1,"Complete",IF(I35&gt;0,"In Progress","Not Started")))</f>
        <v>Blocked</v>
      </c>
      <c r="L35" s="19" t="str">
        <f aca="false">IF(K35="Complete","Done",IF(K35="Blocked","Blocked",IF(OR(F35="",G35=""),"No dates",IF(G35&lt;Summary!$C$3,"OVERDUE",IF(G35-Summary!$C$3&lt;=7,"Due in 7 days","On track")))))</f>
        <v>Blocked</v>
      </c>
      <c r="M35" s="22" t="s">
        <v>116</v>
      </c>
      <c r="N35" s="19" t="n">
        <v>56</v>
      </c>
      <c r="O35" s="22"/>
      <c r="P35" s="19" t="s">
        <v>55</v>
      </c>
    </row>
    <row r="36" customFormat="false" ht="15" hidden="false" customHeight="false" outlineLevel="0" collapsed="false">
      <c r="A36" s="19" t="s">
        <v>142</v>
      </c>
      <c r="B36" s="27" t="s">
        <v>13</v>
      </c>
      <c r="C36" s="21" t="s">
        <v>137</v>
      </c>
      <c r="D36" s="21" t="s">
        <v>143</v>
      </c>
      <c r="E36" s="22" t="s">
        <v>23</v>
      </c>
      <c r="F36" s="23"/>
      <c r="G36" s="23"/>
      <c r="H36" s="24" t="str">
        <f aca="false">IF(OR(F36="",G36=""),"",G36-F36)</f>
        <v/>
      </c>
      <c r="I36" s="25" t="n">
        <v>0</v>
      </c>
      <c r="J36" s="26" t="s">
        <v>88</v>
      </c>
      <c r="K36" s="19" t="str">
        <f aca="false">IF(J36="Yes","Blocked",IF(I36&gt;=1,"Complete",IF(I36&gt;0,"In Progress","Not Started")))</f>
        <v>Blocked</v>
      </c>
      <c r="L36" s="19" t="str">
        <f aca="false">IF(K36="Complete","Done",IF(K36="Blocked","Blocked",IF(OR(F36="",G36=""),"No dates",IF(G36&lt;Summary!$C$3,"OVERDUE",IF(G36-Summary!$C$3&lt;=7,"Due in 7 days","On track")))))</f>
        <v>Blocked</v>
      </c>
      <c r="M36" s="22" t="s">
        <v>89</v>
      </c>
      <c r="N36" s="19" t="n">
        <v>57</v>
      </c>
      <c r="O36" s="22"/>
      <c r="P36" s="19" t="s">
        <v>55</v>
      </c>
    </row>
    <row r="37" customFormat="false" ht="23.85" hidden="false" customHeight="false" outlineLevel="0" collapsed="false">
      <c r="A37" s="19" t="s">
        <v>144</v>
      </c>
      <c r="B37" s="27" t="s">
        <v>13</v>
      </c>
      <c r="C37" s="21" t="s">
        <v>145</v>
      </c>
      <c r="D37" s="21" t="s">
        <v>146</v>
      </c>
      <c r="E37" s="22" t="s">
        <v>23</v>
      </c>
      <c r="F37" s="23"/>
      <c r="G37" s="23"/>
      <c r="H37" s="24" t="str">
        <f aca="false">IF(OR(F37="",G37=""),"",G37-F37)</f>
        <v/>
      </c>
      <c r="I37" s="25" t="n">
        <v>0</v>
      </c>
      <c r="J37" s="26" t="s">
        <v>88</v>
      </c>
      <c r="K37" s="19" t="str">
        <f aca="false">IF(J37="Yes","Blocked",IF(I37&gt;=1,"Complete",IF(I37&gt;0,"In Progress","Not Started")))</f>
        <v>Blocked</v>
      </c>
      <c r="L37" s="19" t="str">
        <f aca="false">IF(K37="Complete","Done",IF(K37="Blocked","Blocked",IF(OR(F37="",G37=""),"No dates",IF(G37&lt;Summary!$C$3,"OVERDUE",IF(G37-Summary!$C$3&lt;=7,"Due in 7 days","On track")))))</f>
        <v>Blocked</v>
      </c>
      <c r="M37" s="22" t="s">
        <v>147</v>
      </c>
      <c r="N37" s="19" t="n">
        <v>58</v>
      </c>
      <c r="O37" s="22" t="s">
        <v>148</v>
      </c>
      <c r="P37" s="19" t="s">
        <v>55</v>
      </c>
    </row>
    <row r="38" customFormat="false" ht="23.85" hidden="false" customHeight="false" outlineLevel="0" collapsed="false">
      <c r="A38" s="19" t="s">
        <v>149</v>
      </c>
      <c r="B38" s="27" t="s">
        <v>13</v>
      </c>
      <c r="C38" s="21" t="s">
        <v>145</v>
      </c>
      <c r="D38" s="21" t="s">
        <v>150</v>
      </c>
      <c r="E38" s="22" t="s">
        <v>23</v>
      </c>
      <c r="F38" s="23"/>
      <c r="G38" s="23"/>
      <c r="H38" s="24" t="str">
        <f aca="false">IF(OR(F38="",G38=""),"",G38-F38)</f>
        <v/>
      </c>
      <c r="I38" s="25" t="n">
        <v>0</v>
      </c>
      <c r="J38" s="26" t="s">
        <v>88</v>
      </c>
      <c r="K38" s="19" t="str">
        <f aca="false">IF(J38="Yes","Blocked",IF(I38&gt;=1,"Complete",IF(I38&gt;0,"In Progress","Not Started")))</f>
        <v>Blocked</v>
      </c>
      <c r="L38" s="19" t="str">
        <f aca="false">IF(K38="Complete","Done",IF(K38="Blocked","Blocked",IF(OR(F38="",G38=""),"No dates",IF(G38&lt;Summary!$C$3,"OVERDUE",IF(G38-Summary!$C$3&lt;=7,"Due in 7 days","On track")))))</f>
        <v>Blocked</v>
      </c>
      <c r="M38" s="22" t="s">
        <v>147</v>
      </c>
      <c r="N38" s="19" t="n">
        <v>59</v>
      </c>
      <c r="O38" s="22"/>
      <c r="P38" s="19" t="s">
        <v>55</v>
      </c>
    </row>
    <row r="39" customFormat="false" ht="23.85" hidden="false" customHeight="false" outlineLevel="0" collapsed="false">
      <c r="A39" s="19" t="s">
        <v>151</v>
      </c>
      <c r="B39" s="27" t="s">
        <v>13</v>
      </c>
      <c r="C39" s="21" t="s">
        <v>152</v>
      </c>
      <c r="D39" s="21" t="s">
        <v>153</v>
      </c>
      <c r="E39" s="22" t="s">
        <v>22</v>
      </c>
      <c r="F39" s="23" t="n">
        <v>46304</v>
      </c>
      <c r="G39" s="23" t="n">
        <v>46358</v>
      </c>
      <c r="H39" s="24" t="n">
        <f aca="false">IF(OR(F39="",G39=""),"",G39-F39)</f>
        <v>54</v>
      </c>
      <c r="I39" s="25" t="n">
        <v>1</v>
      </c>
      <c r="J39" s="26" t="s">
        <v>54</v>
      </c>
      <c r="K39" s="19" t="str">
        <f aca="false">IF(J39="Yes","Blocked",IF(I39&gt;=1,"Complete",IF(I39&gt;0,"In Progress","Not Started")))</f>
        <v>Complete</v>
      </c>
      <c r="L39" s="19" t="str">
        <f aca="false">IF(K39="Complete","Done",IF(K39="Blocked","Blocked",IF(OR(F39="",G39=""),"No dates",IF(G39&lt;Summary!$C$3,"OVERDUE",IF(G39-Summary!$C$3&lt;=7,"Due in 7 days","On track")))))</f>
        <v>Done</v>
      </c>
      <c r="M39" s="22"/>
      <c r="N39" s="19" t="n">
        <v>60</v>
      </c>
      <c r="O39" s="22" t="s">
        <v>154</v>
      </c>
      <c r="P39" s="19" t="s">
        <v>55</v>
      </c>
    </row>
    <row r="40" customFormat="false" ht="23.85" hidden="false" customHeight="false" outlineLevel="0" collapsed="false">
      <c r="A40" s="19" t="s">
        <v>155</v>
      </c>
      <c r="B40" s="27" t="s">
        <v>13</v>
      </c>
      <c r="C40" s="21" t="s">
        <v>156</v>
      </c>
      <c r="D40" s="21" t="s">
        <v>157</v>
      </c>
      <c r="E40" s="22" t="s">
        <v>23</v>
      </c>
      <c r="F40" s="23"/>
      <c r="G40" s="23"/>
      <c r="H40" s="24" t="str">
        <f aca="false">IF(OR(F40="",G40=""),"",G40-F40)</f>
        <v/>
      </c>
      <c r="I40" s="25" t="n">
        <v>0</v>
      </c>
      <c r="J40" s="26" t="s">
        <v>54</v>
      </c>
      <c r="K40" s="19" t="str">
        <f aca="false">IF(J40="Yes","Blocked",IF(I40&gt;=1,"Complete",IF(I40&gt;0,"In Progress","Not Started")))</f>
        <v>Not Started</v>
      </c>
      <c r="L40" s="19" t="str">
        <f aca="false">IF(K40="Complete","Done",IF(K40="Blocked","Blocked",IF(OR(F40="",G40=""),"No dates",IF(G40&lt;Summary!$C$3,"OVERDUE",IF(G40-Summary!$C$3&lt;=7,"Due in 7 days","On track")))))</f>
        <v>No dates</v>
      </c>
      <c r="M40" s="22" t="s">
        <v>66</v>
      </c>
      <c r="N40" s="19" t="s">
        <v>158</v>
      </c>
      <c r="O40" s="22" t="s">
        <v>159</v>
      </c>
      <c r="P40" s="19" t="s">
        <v>72</v>
      </c>
    </row>
    <row r="41" customFormat="false" ht="23.85" hidden="false" customHeight="false" outlineLevel="0" collapsed="false">
      <c r="A41" s="19" t="s">
        <v>160</v>
      </c>
      <c r="B41" s="27" t="s">
        <v>13</v>
      </c>
      <c r="C41" s="21" t="s">
        <v>161</v>
      </c>
      <c r="D41" s="21" t="s">
        <v>162</v>
      </c>
      <c r="E41" s="22" t="s">
        <v>23</v>
      </c>
      <c r="F41" s="23"/>
      <c r="G41" s="23"/>
      <c r="H41" s="24" t="str">
        <f aca="false">IF(OR(F41="",G41=""),"",G41-F41)</f>
        <v/>
      </c>
      <c r="I41" s="25" t="n">
        <v>0</v>
      </c>
      <c r="J41" s="26" t="s">
        <v>54</v>
      </c>
      <c r="K41" s="19" t="str">
        <f aca="false">IF(J41="Yes","Blocked",IF(I41&gt;=1,"Complete",IF(I41&gt;0,"In Progress","Not Started")))</f>
        <v>Not Started</v>
      </c>
      <c r="L41" s="19" t="str">
        <f aca="false">IF(K41="Complete","Done",IF(K41="Blocked","Blocked",IF(OR(F41="",G41=""),"No dates",IF(G41&lt;Summary!$C$3,"OVERDUE",IF(G41-Summary!$C$3&lt;=7,"Due in 7 days","On track")))))</f>
        <v>No dates</v>
      </c>
      <c r="M41" s="22"/>
      <c r="N41" s="19" t="s">
        <v>163</v>
      </c>
      <c r="O41" s="22" t="s">
        <v>164</v>
      </c>
      <c r="P41" s="19" t="s">
        <v>72</v>
      </c>
    </row>
    <row r="42" customFormat="false" ht="15" hidden="false" customHeight="false" outlineLevel="0" collapsed="false">
      <c r="A42" s="19" t="s">
        <v>165</v>
      </c>
      <c r="B42" s="27" t="s">
        <v>13</v>
      </c>
      <c r="C42" s="21" t="s">
        <v>161</v>
      </c>
      <c r="D42" s="21" t="s">
        <v>166</v>
      </c>
      <c r="E42" s="22" t="s">
        <v>23</v>
      </c>
      <c r="F42" s="23"/>
      <c r="G42" s="23"/>
      <c r="H42" s="24" t="str">
        <f aca="false">IF(OR(F42="",G42=""),"",G42-F42)</f>
        <v/>
      </c>
      <c r="I42" s="25" t="n">
        <v>0</v>
      </c>
      <c r="J42" s="26" t="s">
        <v>54</v>
      </c>
      <c r="K42" s="19" t="str">
        <f aca="false">IF(J42="Yes","Blocked",IF(I42&gt;=1,"Complete",IF(I42&gt;0,"In Progress","Not Started")))</f>
        <v>Not Started</v>
      </c>
      <c r="L42" s="19" t="str">
        <f aca="false">IF(K42="Complete","Done",IF(K42="Blocked","Blocked",IF(OR(F42="",G42=""),"No dates",IF(G42&lt;Summary!$C$3,"OVERDUE",IF(G42-Summary!$C$3&lt;=7,"Due in 7 days","On track")))))</f>
        <v>No dates</v>
      </c>
      <c r="M42" s="22"/>
      <c r="N42" s="19" t="s">
        <v>163</v>
      </c>
      <c r="O42" s="22" t="s">
        <v>167</v>
      </c>
      <c r="P42" s="19" t="s">
        <v>72</v>
      </c>
    </row>
    <row r="43" customFormat="false" ht="35.05" hidden="false" customHeight="false" outlineLevel="0" collapsed="false">
      <c r="A43" s="19" t="s">
        <v>168</v>
      </c>
      <c r="B43" s="27" t="s">
        <v>13</v>
      </c>
      <c r="C43" s="21" t="s">
        <v>68</v>
      </c>
      <c r="D43" s="21" t="s">
        <v>169</v>
      </c>
      <c r="E43" s="22" t="s">
        <v>23</v>
      </c>
      <c r="F43" s="23"/>
      <c r="G43" s="23"/>
      <c r="H43" s="24" t="str">
        <f aca="false">IF(OR(F43="",G43=""),"",G43-F43)</f>
        <v/>
      </c>
      <c r="I43" s="25" t="n">
        <v>0</v>
      </c>
      <c r="J43" s="26" t="s">
        <v>54</v>
      </c>
      <c r="K43" s="19" t="str">
        <f aca="false">IF(J43="Yes","Blocked",IF(I43&gt;=1,"Complete",IF(I43&gt;0,"In Progress","Not Started")))</f>
        <v>Not Started</v>
      </c>
      <c r="L43" s="19" t="str">
        <f aca="false">IF(K43="Complete","Done",IF(K43="Blocked","Blocked",IF(OR(F43="",G43=""),"No dates",IF(G43&lt;Summary!$C$3,"OVERDUE",IF(G43-Summary!$C$3&lt;=7,"Due in 7 days","On track")))))</f>
        <v>No dates</v>
      </c>
      <c r="M43" s="22"/>
      <c r="N43" s="19" t="s">
        <v>70</v>
      </c>
      <c r="O43" s="22" t="s">
        <v>170</v>
      </c>
      <c r="P43" s="19" t="s">
        <v>72</v>
      </c>
    </row>
    <row r="44" customFormat="false" ht="15" hidden="false" customHeight="false" outlineLevel="0" collapsed="false">
      <c r="A44" s="19" t="s">
        <v>171</v>
      </c>
      <c r="B44" s="27" t="s">
        <v>13</v>
      </c>
      <c r="C44" s="21" t="s">
        <v>68</v>
      </c>
      <c r="D44" s="21" t="s">
        <v>172</v>
      </c>
      <c r="E44" s="22" t="s">
        <v>23</v>
      </c>
      <c r="F44" s="23"/>
      <c r="G44" s="23"/>
      <c r="H44" s="24" t="str">
        <f aca="false">IF(OR(F44="",G44=""),"",G44-F44)</f>
        <v/>
      </c>
      <c r="I44" s="25" t="n">
        <v>0</v>
      </c>
      <c r="J44" s="26" t="s">
        <v>54</v>
      </c>
      <c r="K44" s="19" t="str">
        <f aca="false">IF(J44="Yes","Blocked",IF(I44&gt;=1,"Complete",IF(I44&gt;0,"In Progress","Not Started")))</f>
        <v>Not Started</v>
      </c>
      <c r="L44" s="19" t="str">
        <f aca="false">IF(K44="Complete","Done",IF(K44="Blocked","Blocked",IF(OR(F44="",G44=""),"No dates",IF(G44&lt;Summary!$C$3,"OVERDUE",IF(G44-Summary!$C$3&lt;=7,"Due in 7 days","On track")))))</f>
        <v>No dates</v>
      </c>
      <c r="M44" s="22"/>
      <c r="N44" s="19" t="s">
        <v>70</v>
      </c>
      <c r="O44" s="22" t="s">
        <v>173</v>
      </c>
      <c r="P44" s="19" t="s">
        <v>72</v>
      </c>
    </row>
    <row r="45" customFormat="false" ht="23.85" hidden="false" customHeight="false" outlineLevel="0" collapsed="false">
      <c r="A45" s="19" t="s">
        <v>174</v>
      </c>
      <c r="B45" s="27" t="s">
        <v>13</v>
      </c>
      <c r="C45" s="21" t="s">
        <v>68</v>
      </c>
      <c r="D45" s="21" t="s">
        <v>175</v>
      </c>
      <c r="E45" s="22" t="s">
        <v>23</v>
      </c>
      <c r="F45" s="23"/>
      <c r="G45" s="23"/>
      <c r="H45" s="24" t="str">
        <f aca="false">IF(OR(F45="",G45=""),"",G45-F45)</f>
        <v/>
      </c>
      <c r="I45" s="25" t="n">
        <v>0</v>
      </c>
      <c r="J45" s="26" t="s">
        <v>88</v>
      </c>
      <c r="K45" s="19" t="str">
        <f aca="false">IF(J45="Yes","Blocked",IF(I45&gt;=1,"Complete",IF(I45&gt;0,"In Progress","Not Started")))</f>
        <v>Blocked</v>
      </c>
      <c r="L45" s="19" t="str">
        <f aca="false">IF(K45="Complete","Done",IF(K45="Blocked","Blocked",IF(OR(F45="",G45=""),"No dates",IF(G45&lt;Summary!$C$3,"OVERDUE",IF(G45-Summary!$C$3&lt;=7,"Due in 7 days","On track")))))</f>
        <v>Blocked</v>
      </c>
      <c r="M45" s="22" t="s">
        <v>176</v>
      </c>
      <c r="N45" s="19" t="s">
        <v>70</v>
      </c>
      <c r="O45" s="22" t="s">
        <v>177</v>
      </c>
      <c r="P45" s="19" t="s">
        <v>72</v>
      </c>
    </row>
    <row r="46" customFormat="false" ht="23.85" hidden="false" customHeight="false" outlineLevel="0" collapsed="false">
      <c r="A46" s="19" t="s">
        <v>178</v>
      </c>
      <c r="B46" s="27" t="s">
        <v>13</v>
      </c>
      <c r="C46" s="21" t="s">
        <v>179</v>
      </c>
      <c r="D46" s="21" t="s">
        <v>180</v>
      </c>
      <c r="E46" s="22" t="s">
        <v>23</v>
      </c>
      <c r="F46" s="23"/>
      <c r="G46" s="23"/>
      <c r="H46" s="24" t="str">
        <f aca="false">IF(OR(F46="",G46=""),"",G46-F46)</f>
        <v/>
      </c>
      <c r="I46" s="25" t="n">
        <v>0</v>
      </c>
      <c r="J46" s="26" t="s">
        <v>88</v>
      </c>
      <c r="K46" s="19" t="str">
        <f aca="false">IF(J46="Yes","Blocked",IF(I46&gt;=1,"Complete",IF(I46&gt;0,"In Progress","Not Started")))</f>
        <v>Blocked</v>
      </c>
      <c r="L46" s="19" t="str">
        <f aca="false">IF(K46="Complete","Done",IF(K46="Blocked","Blocked",IF(OR(F46="",G46=""),"No dates",IF(G46&lt;Summary!$C$3,"OVERDUE",IF(G46-Summary!$C$3&lt;=7,"Due in 7 days","On track")))))</f>
        <v>Blocked</v>
      </c>
      <c r="M46" s="22" t="s">
        <v>181</v>
      </c>
      <c r="N46" s="19" t="s">
        <v>182</v>
      </c>
      <c r="O46" s="22" t="s">
        <v>183</v>
      </c>
      <c r="P46" s="19" t="s">
        <v>72</v>
      </c>
    </row>
    <row r="47" customFormat="false" ht="23.85" hidden="false" customHeight="false" outlineLevel="0" collapsed="false">
      <c r="A47" s="19" t="s">
        <v>184</v>
      </c>
      <c r="B47" s="27" t="s">
        <v>13</v>
      </c>
      <c r="C47" s="21" t="s">
        <v>179</v>
      </c>
      <c r="D47" s="21" t="s">
        <v>185</v>
      </c>
      <c r="E47" s="22" t="s">
        <v>23</v>
      </c>
      <c r="F47" s="23"/>
      <c r="G47" s="23"/>
      <c r="H47" s="24" t="str">
        <f aca="false">IF(OR(F47="",G47=""),"",G47-F47)</f>
        <v/>
      </c>
      <c r="I47" s="25" t="n">
        <v>0</v>
      </c>
      <c r="J47" s="26" t="s">
        <v>54</v>
      </c>
      <c r="K47" s="19" t="str">
        <f aca="false">IF(J47="Yes","Blocked",IF(I47&gt;=1,"Complete",IF(I47&gt;0,"In Progress","Not Started")))</f>
        <v>Not Started</v>
      </c>
      <c r="L47" s="19" t="str">
        <f aca="false">IF(K47="Complete","Done",IF(K47="Blocked","Blocked",IF(OR(F47="",G47=""),"No dates",IF(G47&lt;Summary!$C$3,"OVERDUE",IF(G47-Summary!$C$3&lt;=7,"Due in 7 days","On track")))))</f>
        <v>No dates</v>
      </c>
      <c r="M47" s="22"/>
      <c r="N47" s="19" t="s">
        <v>182</v>
      </c>
      <c r="O47" s="22" t="s">
        <v>186</v>
      </c>
      <c r="P47" s="19" t="s">
        <v>72</v>
      </c>
    </row>
    <row r="48" customFormat="false" ht="15" hidden="false" customHeight="false" outlineLevel="0" collapsed="false">
      <c r="A48" s="19" t="s">
        <v>187</v>
      </c>
      <c r="B48" s="28" t="s">
        <v>14</v>
      </c>
      <c r="C48" s="21" t="s">
        <v>52</v>
      </c>
      <c r="D48" s="21" t="s">
        <v>188</v>
      </c>
      <c r="E48" s="22" t="s">
        <v>19</v>
      </c>
      <c r="F48" s="23" t="n">
        <v>46286</v>
      </c>
      <c r="G48" s="23" t="n">
        <v>46304</v>
      </c>
      <c r="H48" s="24" t="n">
        <f aca="false">IF(OR(F48="",G48=""),"",G48-F48)</f>
        <v>18</v>
      </c>
      <c r="I48" s="25" t="n">
        <v>0.9</v>
      </c>
      <c r="J48" s="26" t="s">
        <v>54</v>
      </c>
      <c r="K48" s="19" t="str">
        <f aca="false">IF(J48="Yes","Blocked",IF(I48&gt;=1,"Complete",IF(I48&gt;0,"In Progress","Not Started")))</f>
        <v>In Progress</v>
      </c>
      <c r="L48" s="19" t="str">
        <f aca="false">IF(K48="Complete","Done",IF(K48="Blocked","Blocked",IF(OR(F48="",G48=""),"No dates",IF(G48&lt;Summary!$C$3,"OVERDUE",IF(G48-Summary!$C$3&lt;=7,"Due in 7 days","On track")))))</f>
        <v>OVERDUE</v>
      </c>
      <c r="M48" s="22"/>
      <c r="N48" s="19" t="n">
        <v>4</v>
      </c>
      <c r="O48" s="22"/>
      <c r="P48" s="19" t="s">
        <v>55</v>
      </c>
    </row>
    <row r="49" customFormat="false" ht="15" hidden="false" customHeight="false" outlineLevel="0" collapsed="false">
      <c r="A49" s="19" t="s">
        <v>189</v>
      </c>
      <c r="B49" s="28" t="s">
        <v>14</v>
      </c>
      <c r="C49" s="21" t="s">
        <v>52</v>
      </c>
      <c r="D49" s="21" t="s">
        <v>190</v>
      </c>
      <c r="E49" s="22" t="s">
        <v>19</v>
      </c>
      <c r="F49" s="23" t="n">
        <v>46286</v>
      </c>
      <c r="G49" s="23" t="n">
        <v>46304</v>
      </c>
      <c r="H49" s="24" t="n">
        <f aca="false">IF(OR(F49="",G49=""),"",G49-F49)</f>
        <v>18</v>
      </c>
      <c r="I49" s="25" t="n">
        <v>0.9</v>
      </c>
      <c r="J49" s="26" t="s">
        <v>54</v>
      </c>
      <c r="K49" s="19" t="str">
        <f aca="false">IF(J49="Yes","Blocked",IF(I49&gt;=1,"Complete",IF(I49&gt;0,"In Progress","Not Started")))</f>
        <v>In Progress</v>
      </c>
      <c r="L49" s="19" t="str">
        <f aca="false">IF(K49="Complete","Done",IF(K49="Blocked","Blocked",IF(OR(F49="",G49=""),"No dates",IF(G49&lt;Summary!$C$3,"OVERDUE",IF(G49-Summary!$C$3&lt;=7,"Due in 7 days","On track")))))</f>
        <v>OVERDUE</v>
      </c>
      <c r="M49" s="22"/>
      <c r="N49" s="19" t="n">
        <v>5</v>
      </c>
      <c r="O49" s="22"/>
      <c r="P49" s="19" t="s">
        <v>55</v>
      </c>
    </row>
    <row r="50" customFormat="false" ht="15" hidden="false" customHeight="false" outlineLevel="0" collapsed="false">
      <c r="A50" s="19" t="s">
        <v>191</v>
      </c>
      <c r="B50" s="28" t="s">
        <v>14</v>
      </c>
      <c r="C50" s="21" t="s">
        <v>57</v>
      </c>
      <c r="D50" s="21" t="s">
        <v>192</v>
      </c>
      <c r="E50" s="22" t="s">
        <v>19</v>
      </c>
      <c r="F50" s="23" t="n">
        <v>46293</v>
      </c>
      <c r="G50" s="23" t="n">
        <v>46318</v>
      </c>
      <c r="H50" s="24" t="n">
        <f aca="false">IF(OR(F50="",G50=""),"",G50-F50)</f>
        <v>25</v>
      </c>
      <c r="I50" s="25" t="n">
        <v>0.1</v>
      </c>
      <c r="J50" s="26" t="s">
        <v>54</v>
      </c>
      <c r="K50" s="19" t="str">
        <f aca="false">IF(J50="Yes","Blocked",IF(I50&gt;=1,"Complete",IF(I50&gt;0,"In Progress","Not Started")))</f>
        <v>In Progress</v>
      </c>
      <c r="L50" s="19" t="str">
        <f aca="false">IF(K50="Complete","Done",IF(K50="Blocked","Blocked",IF(OR(F50="",G50=""),"No dates",IF(G50&lt;Summary!$C$3,"OVERDUE",IF(G50-Summary!$C$3&lt;=7,"Due in 7 days","On track")))))</f>
        <v>On track</v>
      </c>
      <c r="M50" s="22"/>
      <c r="N50" s="19" t="n">
        <v>7</v>
      </c>
      <c r="O50" s="22"/>
      <c r="P50" s="19" t="s">
        <v>55</v>
      </c>
    </row>
    <row r="51" customFormat="false" ht="15" hidden="false" customHeight="false" outlineLevel="0" collapsed="false">
      <c r="A51" s="19" t="s">
        <v>193</v>
      </c>
      <c r="B51" s="28" t="s">
        <v>14</v>
      </c>
      <c r="C51" s="21" t="s">
        <v>61</v>
      </c>
      <c r="D51" s="21" t="s">
        <v>194</v>
      </c>
      <c r="E51" s="22" t="s">
        <v>19</v>
      </c>
      <c r="F51" s="23" t="n">
        <v>46304</v>
      </c>
      <c r="G51" s="23" t="n">
        <v>46318</v>
      </c>
      <c r="H51" s="24" t="n">
        <f aca="false">IF(OR(F51="",G51=""),"",G51-F51)</f>
        <v>14</v>
      </c>
      <c r="I51" s="25" t="n">
        <v>0.2</v>
      </c>
      <c r="J51" s="26" t="s">
        <v>54</v>
      </c>
      <c r="K51" s="19" t="str">
        <f aca="false">IF(J51="Yes","Blocked",IF(I51&gt;=1,"Complete",IF(I51&gt;0,"In Progress","Not Started")))</f>
        <v>In Progress</v>
      </c>
      <c r="L51" s="19" t="str">
        <f aca="false">IF(K51="Complete","Done",IF(K51="Blocked","Blocked",IF(OR(F51="",G51=""),"No dates",IF(G51&lt;Summary!$C$3,"OVERDUE",IF(G51-Summary!$C$3&lt;=7,"Due in 7 days","On track")))))</f>
        <v>On track</v>
      </c>
      <c r="M51" s="22"/>
      <c r="N51" s="19" t="n">
        <v>11</v>
      </c>
      <c r="O51" s="22" t="s">
        <v>82</v>
      </c>
      <c r="P51" s="19" t="s">
        <v>55</v>
      </c>
    </row>
    <row r="52" customFormat="false" ht="35.05" hidden="false" customHeight="false" outlineLevel="0" collapsed="false">
      <c r="A52" s="19" t="s">
        <v>195</v>
      </c>
      <c r="B52" s="28" t="s">
        <v>14</v>
      </c>
      <c r="C52" s="21" t="s">
        <v>161</v>
      </c>
      <c r="D52" s="21" t="s">
        <v>196</v>
      </c>
      <c r="E52" s="22" t="s">
        <v>19</v>
      </c>
      <c r="F52" s="23" t="n">
        <v>46286</v>
      </c>
      <c r="G52" s="23" t="n">
        <v>46304</v>
      </c>
      <c r="H52" s="24" t="n">
        <f aca="false">IF(OR(F52="",G52=""),"",G52-F52)</f>
        <v>18</v>
      </c>
      <c r="I52" s="25" t="n">
        <v>1</v>
      </c>
      <c r="J52" s="26" t="s">
        <v>54</v>
      </c>
      <c r="K52" s="19" t="str">
        <f aca="false">IF(J52="Yes","Blocked",IF(I52&gt;=1,"Complete",IF(I52&gt;0,"In Progress","Not Started")))</f>
        <v>Complete</v>
      </c>
      <c r="L52" s="19" t="str">
        <f aca="false">IF(K52="Complete","Done",IF(K52="Blocked","Blocked",IF(OR(F52="",G52=""),"No dates",IF(G52&lt;Summary!$C$3,"OVERDUE",IF(G52-Summary!$C$3&lt;=7,"Due in 7 days","On track")))))</f>
        <v>Done</v>
      </c>
      <c r="M52" s="22" t="s">
        <v>197</v>
      </c>
      <c r="N52" s="19" t="n">
        <v>14</v>
      </c>
      <c r="O52" s="22" t="s">
        <v>198</v>
      </c>
      <c r="P52" s="19" t="s">
        <v>55</v>
      </c>
    </row>
    <row r="53" customFormat="false" ht="23.85" hidden="false" customHeight="false" outlineLevel="0" collapsed="false">
      <c r="A53" s="19" t="s">
        <v>199</v>
      </c>
      <c r="B53" s="28" t="s">
        <v>14</v>
      </c>
      <c r="C53" s="21" t="s">
        <v>156</v>
      </c>
      <c r="D53" s="21" t="s">
        <v>200</v>
      </c>
      <c r="E53" s="22" t="s">
        <v>23</v>
      </c>
      <c r="F53" s="23"/>
      <c r="G53" s="23"/>
      <c r="H53" s="24" t="str">
        <f aca="false">IF(OR(F53="",G53=""),"",G53-F53)</f>
        <v/>
      </c>
      <c r="I53" s="25" t="n">
        <v>0</v>
      </c>
      <c r="J53" s="26" t="s">
        <v>54</v>
      </c>
      <c r="K53" s="19" t="str">
        <f aca="false">IF(J53="Yes","Blocked",IF(I53&gt;=1,"Complete",IF(I53&gt;0,"In Progress","Not Started")))</f>
        <v>Not Started</v>
      </c>
      <c r="L53" s="19" t="str">
        <f aca="false">IF(K53="Complete","Done",IF(K53="Blocked","Blocked",IF(OR(F53="",G53=""),"No dates",IF(G53&lt;Summary!$C$3,"OVERDUE",IF(G53-Summary!$C$3&lt;=7,"Due in 7 days","On track")))))</f>
        <v>No dates</v>
      </c>
      <c r="M53" s="22"/>
      <c r="N53" s="19" t="s">
        <v>158</v>
      </c>
      <c r="O53" s="22" t="s">
        <v>201</v>
      </c>
      <c r="P53" s="19" t="s">
        <v>72</v>
      </c>
    </row>
    <row r="54" customFormat="false" ht="23.85" hidden="false" customHeight="false" outlineLevel="0" collapsed="false">
      <c r="A54" s="19" t="s">
        <v>202</v>
      </c>
      <c r="B54" s="28" t="s">
        <v>14</v>
      </c>
      <c r="C54" s="21" t="s">
        <v>68</v>
      </c>
      <c r="D54" s="21" t="s">
        <v>203</v>
      </c>
      <c r="E54" s="22" t="s">
        <v>23</v>
      </c>
      <c r="F54" s="23"/>
      <c r="G54" s="23"/>
      <c r="H54" s="24" t="str">
        <f aca="false">IF(OR(F54="",G54=""),"",G54-F54)</f>
        <v/>
      </c>
      <c r="I54" s="25" t="n">
        <v>0</v>
      </c>
      <c r="J54" s="26" t="s">
        <v>54</v>
      </c>
      <c r="K54" s="19" t="str">
        <f aca="false">IF(J54="Yes","Blocked",IF(I54&gt;=1,"Complete",IF(I54&gt;0,"In Progress","Not Started")))</f>
        <v>Not Started</v>
      </c>
      <c r="L54" s="19" t="str">
        <f aca="false">IF(K54="Complete","Done",IF(K54="Blocked","Blocked",IF(OR(F54="",G54=""),"No dates",IF(G54&lt;Summary!$C$3,"OVERDUE",IF(G54-Summary!$C$3&lt;=7,"Due in 7 days","On track")))))</f>
        <v>No dates</v>
      </c>
      <c r="M54" s="22"/>
      <c r="N54" s="19" t="s">
        <v>70</v>
      </c>
      <c r="O54" s="22" t="s">
        <v>71</v>
      </c>
      <c r="P54" s="19" t="s">
        <v>72</v>
      </c>
    </row>
    <row r="55" customFormat="false" ht="15" hidden="false" customHeight="false" outlineLevel="0" collapsed="false">
      <c r="A55" s="19" t="s">
        <v>204</v>
      </c>
      <c r="B55" s="29" t="s">
        <v>15</v>
      </c>
      <c r="C55" s="21" t="s">
        <v>65</v>
      </c>
      <c r="D55" s="21" t="s">
        <v>205</v>
      </c>
      <c r="E55" s="22" t="s">
        <v>21</v>
      </c>
      <c r="F55" s="23" t="n">
        <v>46304</v>
      </c>
      <c r="G55" s="23" t="n">
        <v>46318</v>
      </c>
      <c r="H55" s="24" t="n">
        <f aca="false">IF(OR(F55="",G55=""),"",G55-F55)</f>
        <v>14</v>
      </c>
      <c r="I55" s="25" t="n">
        <v>0</v>
      </c>
      <c r="J55" s="26" t="s">
        <v>54</v>
      </c>
      <c r="K55" s="19" t="str">
        <f aca="false">IF(J55="Yes","Blocked",IF(I55&gt;=1,"Complete",IF(I55&gt;0,"In Progress","Not Started")))</f>
        <v>Not Started</v>
      </c>
      <c r="L55" s="19" t="str">
        <f aca="false">IF(K55="Complete","Done",IF(K55="Blocked","Blocked",IF(OR(F55="",G55=""),"No dates",IF(G55&lt;Summary!$C$3,"OVERDUE",IF(G55-Summary!$C$3&lt;=7,"Due in 7 days","On track")))))</f>
        <v>On track</v>
      </c>
      <c r="M55" s="22"/>
      <c r="N55" s="19" t="n">
        <v>40</v>
      </c>
      <c r="O55" s="22"/>
      <c r="P55" s="19" t="s">
        <v>55</v>
      </c>
    </row>
    <row r="56" customFormat="false" ht="15" hidden="false" customHeight="false" outlineLevel="0" collapsed="false">
      <c r="A56" s="19" t="s">
        <v>206</v>
      </c>
      <c r="B56" s="29" t="s">
        <v>15</v>
      </c>
      <c r="C56" s="21" t="s">
        <v>65</v>
      </c>
      <c r="D56" s="21" t="s">
        <v>207</v>
      </c>
      <c r="E56" s="22" t="s">
        <v>20</v>
      </c>
      <c r="F56" s="23" t="n">
        <v>46304</v>
      </c>
      <c r="G56" s="23" t="n">
        <v>46318</v>
      </c>
      <c r="H56" s="24" t="n">
        <f aca="false">IF(OR(F56="",G56=""),"",G56-F56)</f>
        <v>14</v>
      </c>
      <c r="I56" s="25" t="n">
        <v>0</v>
      </c>
      <c r="J56" s="26" t="s">
        <v>54</v>
      </c>
      <c r="K56" s="19" t="str">
        <f aca="false">IF(J56="Yes","Blocked",IF(I56&gt;=1,"Complete",IF(I56&gt;0,"In Progress","Not Started")))</f>
        <v>Not Started</v>
      </c>
      <c r="L56" s="19" t="str">
        <f aca="false">IF(K56="Complete","Done",IF(K56="Blocked","Blocked",IF(OR(F56="",G56=""),"No dates",IF(G56&lt;Summary!$C$3,"OVERDUE",IF(G56-Summary!$C$3&lt;=7,"Due in 7 days","On track")))))</f>
        <v>On track</v>
      </c>
      <c r="M56" s="22"/>
      <c r="N56" s="19" t="n">
        <v>44</v>
      </c>
      <c r="O56" s="22"/>
      <c r="P56" s="19" t="s">
        <v>55</v>
      </c>
    </row>
    <row r="57" customFormat="false" ht="15" hidden="false" customHeight="false" outlineLevel="0" collapsed="false">
      <c r="A57" s="19" t="s">
        <v>208</v>
      </c>
      <c r="B57" s="29" t="s">
        <v>15</v>
      </c>
      <c r="C57" s="21" t="s">
        <v>120</v>
      </c>
      <c r="D57" s="21" t="s">
        <v>209</v>
      </c>
      <c r="E57" s="22" t="s">
        <v>23</v>
      </c>
      <c r="F57" s="23"/>
      <c r="G57" s="23"/>
      <c r="H57" s="24" t="str">
        <f aca="false">IF(OR(F57="",G57=""),"",G57-F57)</f>
        <v/>
      </c>
      <c r="I57" s="25" t="n">
        <v>0</v>
      </c>
      <c r="J57" s="26" t="s">
        <v>88</v>
      </c>
      <c r="K57" s="19" t="str">
        <f aca="false">IF(J57="Yes","Blocked",IF(I57&gt;=1,"Complete",IF(I57&gt;0,"In Progress","Not Started")))</f>
        <v>Blocked</v>
      </c>
      <c r="L57" s="19" t="str">
        <f aca="false">IF(K57="Complete","Done",IF(K57="Blocked","Blocked",IF(OR(F57="",G57=""),"No dates",IF(G57&lt;Summary!$C$3,"OVERDUE",IF(G57-Summary!$C$3&lt;=7,"Due in 7 days","On track")))))</f>
        <v>Blocked</v>
      </c>
      <c r="M57" s="22" t="s">
        <v>122</v>
      </c>
      <c r="N57" s="19" t="n">
        <v>48</v>
      </c>
      <c r="O57" s="22"/>
      <c r="P57" s="19" t="s">
        <v>55</v>
      </c>
    </row>
    <row r="58" customFormat="false" ht="23.85" hidden="false" customHeight="false" outlineLevel="0" collapsed="false">
      <c r="A58" s="19" t="s">
        <v>210</v>
      </c>
      <c r="B58" s="29" t="s">
        <v>15</v>
      </c>
      <c r="C58" s="21" t="s">
        <v>129</v>
      </c>
      <c r="D58" s="21" t="s">
        <v>211</v>
      </c>
      <c r="E58" s="22" t="s">
        <v>23</v>
      </c>
      <c r="F58" s="23"/>
      <c r="G58" s="23"/>
      <c r="H58" s="24" t="str">
        <f aca="false">IF(OR(F58="",G58=""),"",G58-F58)</f>
        <v/>
      </c>
      <c r="I58" s="25" t="n">
        <v>0</v>
      </c>
      <c r="J58" s="26" t="s">
        <v>88</v>
      </c>
      <c r="K58" s="19" t="str">
        <f aca="false">IF(J58="Yes","Blocked",IF(I58&gt;=1,"Complete",IF(I58&gt;0,"In Progress","Not Started")))</f>
        <v>Blocked</v>
      </c>
      <c r="L58" s="19" t="str">
        <f aca="false">IF(K58="Complete","Done",IF(K58="Blocked","Blocked",IF(OR(F58="",G58=""),"No dates",IF(G58&lt;Summary!$C$3,"OVERDUE",IF(G58-Summary!$C$3&lt;=7,"Due in 7 days","On track")))))</f>
        <v>Blocked</v>
      </c>
      <c r="M58" s="22" t="s">
        <v>131</v>
      </c>
      <c r="N58" s="19" t="n">
        <v>52</v>
      </c>
      <c r="O58" s="22"/>
      <c r="P58" s="19" t="s">
        <v>55</v>
      </c>
    </row>
    <row r="59" customFormat="false" ht="23.85" hidden="false" customHeight="false" outlineLevel="0" collapsed="false">
      <c r="A59" s="19" t="s">
        <v>212</v>
      </c>
      <c r="B59" s="29" t="s">
        <v>15</v>
      </c>
      <c r="C59" s="21" t="s">
        <v>152</v>
      </c>
      <c r="D59" s="21" t="s">
        <v>213</v>
      </c>
      <c r="E59" s="22" t="s">
        <v>22</v>
      </c>
      <c r="F59" s="23" t="n">
        <v>46304</v>
      </c>
      <c r="G59" s="23" t="n">
        <v>46358</v>
      </c>
      <c r="H59" s="24" t="n">
        <f aca="false">IF(OR(F59="",G59=""),"",G59-F59)</f>
        <v>54</v>
      </c>
      <c r="I59" s="25" t="n">
        <v>0</v>
      </c>
      <c r="J59" s="26" t="s">
        <v>54</v>
      </c>
      <c r="K59" s="19" t="str">
        <f aca="false">IF(J59="Yes","Blocked",IF(I59&gt;=1,"Complete",IF(I59&gt;0,"In Progress","Not Started")))</f>
        <v>Not Started</v>
      </c>
      <c r="L59" s="19" t="str">
        <f aca="false">IF(K59="Complete","Done",IF(K59="Blocked","Blocked",IF(OR(F59="",G59=""),"No dates",IF(G59&lt;Summary!$C$3,"OVERDUE",IF(G59-Summary!$C$3&lt;=7,"Due in 7 days","On track")))))</f>
        <v>On track</v>
      </c>
      <c r="M59" s="22"/>
      <c r="N59" s="19" t="n">
        <v>67</v>
      </c>
      <c r="O59" s="22"/>
      <c r="P59" s="19" t="s">
        <v>55</v>
      </c>
    </row>
    <row r="60" customFormat="false" ht="23.85" hidden="false" customHeight="false" outlineLevel="0" collapsed="false">
      <c r="A60" s="19" t="s">
        <v>214</v>
      </c>
      <c r="B60" s="29" t="s">
        <v>15</v>
      </c>
      <c r="C60" s="21" t="s">
        <v>152</v>
      </c>
      <c r="D60" s="21" t="s">
        <v>215</v>
      </c>
      <c r="E60" s="22" t="s">
        <v>22</v>
      </c>
      <c r="F60" s="23" t="n">
        <v>46304</v>
      </c>
      <c r="G60" s="23" t="n">
        <v>46358</v>
      </c>
      <c r="H60" s="24" t="n">
        <f aca="false">IF(OR(F60="",G60=""),"",G60-F60)</f>
        <v>54</v>
      </c>
      <c r="I60" s="25" t="n">
        <v>0</v>
      </c>
      <c r="J60" s="26" t="s">
        <v>54</v>
      </c>
      <c r="K60" s="19" t="str">
        <f aca="false">IF(J60="Yes","Blocked",IF(I60&gt;=1,"Complete",IF(I60&gt;0,"In Progress","Not Started")))</f>
        <v>Not Started</v>
      </c>
      <c r="L60" s="19" t="str">
        <f aca="false">IF(K60="Complete","Done",IF(K60="Blocked","Blocked",IF(OR(F60="",G60=""),"No dates",IF(G60&lt;Summary!$C$3,"OVERDUE",IF(G60-Summary!$C$3&lt;=7,"Due in 7 days","On track")))))</f>
        <v>On track</v>
      </c>
      <c r="M60" s="22"/>
      <c r="N60" s="19" t="n">
        <v>68</v>
      </c>
      <c r="O60" s="22"/>
      <c r="P60" s="19" t="s">
        <v>55</v>
      </c>
    </row>
    <row r="61" customFormat="false" ht="23.85" hidden="false" customHeight="false" outlineLevel="0" collapsed="false">
      <c r="A61" s="19" t="s">
        <v>216</v>
      </c>
      <c r="B61" s="29" t="s">
        <v>15</v>
      </c>
      <c r="C61" s="21" t="s">
        <v>217</v>
      </c>
      <c r="D61" s="21" t="s">
        <v>218</v>
      </c>
      <c r="E61" s="22" t="s">
        <v>23</v>
      </c>
      <c r="F61" s="23"/>
      <c r="G61" s="23"/>
      <c r="H61" s="24" t="str">
        <f aca="false">IF(OR(F61="",G61=""),"",G61-F61)</f>
        <v/>
      </c>
      <c r="I61" s="25" t="n">
        <v>0</v>
      </c>
      <c r="J61" s="26" t="s">
        <v>54</v>
      </c>
      <c r="K61" s="19" t="str">
        <f aca="false">IF(J61="Yes","Blocked",IF(I61&gt;=1,"Complete",IF(I61&gt;0,"In Progress","Not Started")))</f>
        <v>Not Started</v>
      </c>
      <c r="L61" s="19" t="str">
        <f aca="false">IF(K61="Complete","Done",IF(K61="Blocked","Blocked",IF(OR(F61="",G61=""),"No dates",IF(G61&lt;Summary!$C$3,"OVERDUE",IF(G61-Summary!$C$3&lt;=7,"Due in 7 days","On track")))))</f>
        <v>No dates</v>
      </c>
      <c r="M61" s="22"/>
      <c r="N61" s="19" t="n">
        <v>72</v>
      </c>
      <c r="O61" s="22" t="s">
        <v>219</v>
      </c>
      <c r="P61" s="19" t="s">
        <v>55</v>
      </c>
    </row>
    <row r="62" customFormat="false" ht="23.85" hidden="false" customHeight="false" outlineLevel="0" collapsed="false">
      <c r="A62" s="19" t="s">
        <v>220</v>
      </c>
      <c r="B62" s="29" t="s">
        <v>15</v>
      </c>
      <c r="C62" s="21" t="s">
        <v>156</v>
      </c>
      <c r="D62" s="21" t="s">
        <v>221</v>
      </c>
      <c r="E62" s="22" t="s">
        <v>23</v>
      </c>
      <c r="F62" s="23"/>
      <c r="G62" s="23"/>
      <c r="H62" s="24" t="str">
        <f aca="false">IF(OR(F62="",G62=""),"",G62-F62)</f>
        <v/>
      </c>
      <c r="I62" s="25" t="n">
        <v>0</v>
      </c>
      <c r="J62" s="26" t="s">
        <v>54</v>
      </c>
      <c r="K62" s="19" t="str">
        <f aca="false">IF(J62="Yes","Blocked",IF(I62&gt;=1,"Complete",IF(I62&gt;0,"In Progress","Not Started")))</f>
        <v>Not Started</v>
      </c>
      <c r="L62" s="19" t="str">
        <f aca="false">IF(K62="Complete","Done",IF(K62="Blocked","Blocked",IF(OR(F62="",G62=""),"No dates",IF(G62&lt;Summary!$C$3,"OVERDUE",IF(G62-Summary!$C$3&lt;=7,"Due in 7 days","On track")))))</f>
        <v>No dates</v>
      </c>
      <c r="M62" s="22" t="s">
        <v>66</v>
      </c>
      <c r="N62" s="19" t="s">
        <v>158</v>
      </c>
      <c r="O62" s="22" t="s">
        <v>222</v>
      </c>
      <c r="P62" s="19" t="s">
        <v>72</v>
      </c>
    </row>
    <row r="63" customFormat="false" ht="23.85" hidden="false" customHeight="false" outlineLevel="0" collapsed="false">
      <c r="A63" s="19" t="s">
        <v>223</v>
      </c>
      <c r="B63" s="29" t="s">
        <v>15</v>
      </c>
      <c r="C63" s="21" t="s">
        <v>68</v>
      </c>
      <c r="D63" s="21" t="s">
        <v>224</v>
      </c>
      <c r="E63" s="22" t="s">
        <v>23</v>
      </c>
      <c r="F63" s="23"/>
      <c r="G63" s="23"/>
      <c r="H63" s="24" t="str">
        <f aca="false">IF(OR(F63="",G63=""),"",G63-F63)</f>
        <v/>
      </c>
      <c r="I63" s="25" t="n">
        <v>0</v>
      </c>
      <c r="J63" s="26" t="s">
        <v>54</v>
      </c>
      <c r="K63" s="19" t="str">
        <f aca="false">IF(J63="Yes","Blocked",IF(I63&gt;=1,"Complete",IF(I63&gt;0,"In Progress","Not Started")))</f>
        <v>Not Started</v>
      </c>
      <c r="L63" s="19" t="str">
        <f aca="false">IF(K63="Complete","Done",IF(K63="Blocked","Blocked",IF(OR(F63="",G63=""),"No dates",IF(G63&lt;Summary!$C$3,"OVERDUE",IF(G63-Summary!$C$3&lt;=7,"Due in 7 days","On track")))))</f>
        <v>No dates</v>
      </c>
      <c r="M63" s="22" t="s">
        <v>225</v>
      </c>
      <c r="N63" s="19" t="s">
        <v>70</v>
      </c>
      <c r="O63" s="22" t="s">
        <v>226</v>
      </c>
      <c r="P63" s="19" t="s">
        <v>72</v>
      </c>
    </row>
    <row r="64" customFormat="false" ht="23.85" hidden="false" customHeight="false" outlineLevel="0" collapsed="false">
      <c r="A64" s="19" t="s">
        <v>227</v>
      </c>
      <c r="B64" s="29" t="s">
        <v>15</v>
      </c>
      <c r="C64" s="21" t="s">
        <v>137</v>
      </c>
      <c r="D64" s="21" t="s">
        <v>228</v>
      </c>
      <c r="E64" s="22" t="s">
        <v>23</v>
      </c>
      <c r="F64" s="23"/>
      <c r="G64" s="23"/>
      <c r="H64" s="24" t="str">
        <f aca="false">IF(OR(F64="",G64=""),"",G64-F64)</f>
        <v/>
      </c>
      <c r="I64" s="25" t="n">
        <v>0</v>
      </c>
      <c r="J64" s="26" t="s">
        <v>88</v>
      </c>
      <c r="K64" s="19" t="str">
        <f aca="false">IF(J64="Yes","Blocked",IF(I64&gt;=1,"Complete",IF(I64&gt;0,"In Progress","Not Started")))</f>
        <v>Blocked</v>
      </c>
      <c r="L64" s="19" t="str">
        <f aca="false">IF(K64="Complete","Done",IF(K64="Blocked","Blocked",IF(OR(F64="",G64=""),"No dates",IF(G64&lt;Summary!$C$3,"OVERDUE",IF(G64-Summary!$C$3&lt;=7,"Due in 7 days","On track")))))</f>
        <v>Blocked</v>
      </c>
      <c r="M64" s="22" t="s">
        <v>89</v>
      </c>
      <c r="N64" s="19" t="s">
        <v>229</v>
      </c>
      <c r="O64" s="22" t="s">
        <v>230</v>
      </c>
      <c r="P64" s="19" t="s">
        <v>72</v>
      </c>
    </row>
    <row r="65" customFormat="false" ht="23.85" hidden="false" customHeight="false" outlineLevel="0" collapsed="false">
      <c r="A65" s="19" t="s">
        <v>231</v>
      </c>
      <c r="B65" s="30" t="s">
        <v>16</v>
      </c>
      <c r="C65" s="21" t="s">
        <v>152</v>
      </c>
      <c r="D65" s="21" t="s">
        <v>232</v>
      </c>
      <c r="E65" s="22" t="s">
        <v>22</v>
      </c>
      <c r="F65" s="23" t="n">
        <v>46304</v>
      </c>
      <c r="G65" s="23" t="n">
        <v>46358</v>
      </c>
      <c r="H65" s="24" t="n">
        <f aca="false">IF(OR(F65="",G65=""),"",G65-F65)</f>
        <v>54</v>
      </c>
      <c r="I65" s="25" t="n">
        <v>0</v>
      </c>
      <c r="J65" s="26" t="s">
        <v>54</v>
      </c>
      <c r="K65" s="19" t="str">
        <f aca="false">IF(J65="Yes","Blocked",IF(I65&gt;=1,"Complete",IF(I65&gt;0,"In Progress","Not Started")))</f>
        <v>Not Started</v>
      </c>
      <c r="L65" s="19" t="str">
        <f aca="false">IF(K65="Complete","Done",IF(K65="Blocked","Blocked",IF(OR(F65="",G65=""),"No dates",IF(G65&lt;Summary!$C$3,"OVERDUE",IF(G65-Summary!$C$3&lt;=7,"Due in 7 days","On track")))))</f>
        <v>On track</v>
      </c>
      <c r="M65" s="22"/>
      <c r="N65" s="19" t="n">
        <v>61</v>
      </c>
      <c r="O65" s="22"/>
      <c r="P65" s="19" t="s">
        <v>55</v>
      </c>
    </row>
    <row r="66" customFormat="false" ht="23.85" hidden="false" customHeight="false" outlineLevel="0" collapsed="false">
      <c r="A66" s="19" t="s">
        <v>233</v>
      </c>
      <c r="B66" s="30" t="s">
        <v>16</v>
      </c>
      <c r="C66" s="21" t="s">
        <v>152</v>
      </c>
      <c r="D66" s="21" t="s">
        <v>234</v>
      </c>
      <c r="E66" s="22" t="s">
        <v>22</v>
      </c>
      <c r="F66" s="23" t="n">
        <v>46304</v>
      </c>
      <c r="G66" s="23" t="n">
        <v>46358</v>
      </c>
      <c r="H66" s="24" t="n">
        <f aca="false">IF(OR(F66="",G66=""),"",G66-F66)</f>
        <v>54</v>
      </c>
      <c r="I66" s="25" t="n">
        <v>0</v>
      </c>
      <c r="J66" s="26" t="s">
        <v>54</v>
      </c>
      <c r="K66" s="19" t="str">
        <f aca="false">IF(J66="Yes","Blocked",IF(I66&gt;=1,"Complete",IF(I66&gt;0,"In Progress","Not Started")))</f>
        <v>Not Started</v>
      </c>
      <c r="L66" s="19" t="str">
        <f aca="false">IF(K66="Complete","Done",IF(K66="Blocked","Blocked",IF(OR(F66="",G66=""),"No dates",IF(G66&lt;Summary!$C$3,"OVERDUE",IF(G66-Summary!$C$3&lt;=7,"Due in 7 days","On track")))))</f>
        <v>On track</v>
      </c>
      <c r="M66" s="22"/>
      <c r="N66" s="19" t="n">
        <v>62</v>
      </c>
      <c r="O66" s="22"/>
      <c r="P66" s="19" t="s">
        <v>55</v>
      </c>
    </row>
    <row r="67" customFormat="false" ht="23.85" hidden="false" customHeight="false" outlineLevel="0" collapsed="false">
      <c r="A67" s="19" t="s">
        <v>235</v>
      </c>
      <c r="B67" s="30" t="s">
        <v>16</v>
      </c>
      <c r="C67" s="21" t="s">
        <v>152</v>
      </c>
      <c r="D67" s="21" t="s">
        <v>236</v>
      </c>
      <c r="E67" s="22" t="s">
        <v>22</v>
      </c>
      <c r="F67" s="23" t="n">
        <v>46304</v>
      </c>
      <c r="G67" s="23" t="n">
        <v>46358</v>
      </c>
      <c r="H67" s="24" t="n">
        <f aca="false">IF(OR(F67="",G67=""),"",G67-F67)</f>
        <v>54</v>
      </c>
      <c r="I67" s="25" t="n">
        <v>0</v>
      </c>
      <c r="J67" s="26" t="s">
        <v>54</v>
      </c>
      <c r="K67" s="19" t="str">
        <f aca="false">IF(J67="Yes","Blocked",IF(I67&gt;=1,"Complete",IF(I67&gt;0,"In Progress","Not Started")))</f>
        <v>Not Started</v>
      </c>
      <c r="L67" s="19" t="str">
        <f aca="false">IF(K67="Complete","Done",IF(K67="Blocked","Blocked",IF(OR(F67="",G67=""),"No dates",IF(G67&lt;Summary!$C$3,"OVERDUE",IF(G67-Summary!$C$3&lt;=7,"Due in 7 days","On track")))))</f>
        <v>On track</v>
      </c>
      <c r="M67" s="22"/>
      <c r="N67" s="19" t="n">
        <v>63</v>
      </c>
      <c r="O67" s="22"/>
      <c r="P67" s="19" t="s">
        <v>55</v>
      </c>
    </row>
    <row r="68" customFormat="false" ht="23.85" hidden="false" customHeight="false" outlineLevel="0" collapsed="false">
      <c r="A68" s="19" t="s">
        <v>237</v>
      </c>
      <c r="B68" s="30" t="s">
        <v>16</v>
      </c>
      <c r="C68" s="21" t="s">
        <v>152</v>
      </c>
      <c r="D68" s="21" t="s">
        <v>238</v>
      </c>
      <c r="E68" s="22" t="s">
        <v>22</v>
      </c>
      <c r="F68" s="23" t="n">
        <v>46304</v>
      </c>
      <c r="G68" s="23" t="n">
        <v>46358</v>
      </c>
      <c r="H68" s="24" t="n">
        <f aca="false">IF(OR(F68="",G68=""),"",G68-F68)</f>
        <v>54</v>
      </c>
      <c r="I68" s="25" t="n">
        <v>0</v>
      </c>
      <c r="J68" s="26" t="s">
        <v>54</v>
      </c>
      <c r="K68" s="19" t="str">
        <f aca="false">IF(J68="Yes","Blocked",IF(I68&gt;=1,"Complete",IF(I68&gt;0,"In Progress","Not Started")))</f>
        <v>Not Started</v>
      </c>
      <c r="L68" s="19" t="str">
        <f aca="false">IF(K68="Complete","Done",IF(K68="Blocked","Blocked",IF(OR(F68="",G68=""),"No dates",IF(G68&lt;Summary!$C$3,"OVERDUE",IF(G68-Summary!$C$3&lt;=7,"Due in 7 days","On track")))))</f>
        <v>On track</v>
      </c>
      <c r="M68" s="22"/>
      <c r="N68" s="19" t="n">
        <v>64</v>
      </c>
      <c r="O68" s="22"/>
      <c r="P68" s="19" t="s">
        <v>55</v>
      </c>
    </row>
    <row r="69" customFormat="false" ht="23.85" hidden="false" customHeight="false" outlineLevel="0" collapsed="false">
      <c r="A69" s="19" t="s">
        <v>239</v>
      </c>
      <c r="B69" s="30" t="s">
        <v>16</v>
      </c>
      <c r="C69" s="21" t="s">
        <v>152</v>
      </c>
      <c r="D69" s="21" t="s">
        <v>240</v>
      </c>
      <c r="E69" s="22" t="s">
        <v>22</v>
      </c>
      <c r="F69" s="23" t="n">
        <v>46304</v>
      </c>
      <c r="G69" s="23" t="n">
        <v>46358</v>
      </c>
      <c r="H69" s="24" t="n">
        <f aca="false">IF(OR(F69="",G69=""),"",G69-F69)</f>
        <v>54</v>
      </c>
      <c r="I69" s="25" t="n">
        <v>0</v>
      </c>
      <c r="J69" s="26" t="s">
        <v>54</v>
      </c>
      <c r="K69" s="19" t="str">
        <f aca="false">IF(J69="Yes","Blocked",IF(I69&gt;=1,"Complete",IF(I69&gt;0,"In Progress","Not Started")))</f>
        <v>Not Started</v>
      </c>
      <c r="L69" s="19" t="str">
        <f aca="false">IF(K69="Complete","Done",IF(K69="Blocked","Blocked",IF(OR(F69="",G69=""),"No dates",IF(G69&lt;Summary!$C$3,"OVERDUE",IF(G69-Summary!$C$3&lt;=7,"Due in 7 days","On track")))))</f>
        <v>On track</v>
      </c>
      <c r="M69" s="22"/>
      <c r="N69" s="19" t="n">
        <v>65</v>
      </c>
      <c r="O69" s="22"/>
      <c r="P69" s="19" t="s">
        <v>55</v>
      </c>
    </row>
    <row r="70" customFormat="false" ht="23.85" hidden="false" customHeight="false" outlineLevel="0" collapsed="false">
      <c r="A70" s="19" t="s">
        <v>241</v>
      </c>
      <c r="B70" s="30" t="s">
        <v>16</v>
      </c>
      <c r="C70" s="21" t="s">
        <v>152</v>
      </c>
      <c r="D70" s="21" t="s">
        <v>242</v>
      </c>
      <c r="E70" s="22" t="s">
        <v>22</v>
      </c>
      <c r="F70" s="23" t="n">
        <v>46304</v>
      </c>
      <c r="G70" s="23" t="n">
        <v>46358</v>
      </c>
      <c r="H70" s="24" t="n">
        <f aca="false">IF(OR(F70="",G70=""),"",G70-F70)</f>
        <v>54</v>
      </c>
      <c r="I70" s="25" t="n">
        <v>0</v>
      </c>
      <c r="J70" s="26" t="s">
        <v>54</v>
      </c>
      <c r="K70" s="19" t="str">
        <f aca="false">IF(J70="Yes","Blocked",IF(I70&gt;=1,"Complete",IF(I70&gt;0,"In Progress","Not Started")))</f>
        <v>Not Started</v>
      </c>
      <c r="L70" s="19" t="str">
        <f aca="false">IF(K70="Complete","Done",IF(K70="Blocked","Blocked",IF(OR(F70="",G70=""),"No dates",IF(G70&lt;Summary!$C$3,"OVERDUE",IF(G70-Summary!$C$3&lt;=7,"Due in 7 days","On track")))))</f>
        <v>On track</v>
      </c>
      <c r="M70" s="22"/>
      <c r="N70" s="19" t="n">
        <v>66</v>
      </c>
      <c r="O70" s="22"/>
      <c r="P70" s="19" t="s">
        <v>55</v>
      </c>
    </row>
    <row r="71" customFormat="false" ht="23.85" hidden="false" customHeight="false" outlineLevel="0" collapsed="false">
      <c r="A71" s="19" t="s">
        <v>243</v>
      </c>
      <c r="B71" s="30" t="s">
        <v>16</v>
      </c>
      <c r="C71" s="21" t="s">
        <v>152</v>
      </c>
      <c r="D71" s="21" t="s">
        <v>244</v>
      </c>
      <c r="E71" s="22" t="s">
        <v>22</v>
      </c>
      <c r="F71" s="23" t="n">
        <v>46304</v>
      </c>
      <c r="G71" s="23" t="n">
        <v>46358</v>
      </c>
      <c r="H71" s="24" t="n">
        <f aca="false">IF(OR(F71="",G71=""),"",G71-F71)</f>
        <v>54</v>
      </c>
      <c r="I71" s="25" t="n">
        <v>0</v>
      </c>
      <c r="J71" s="26" t="s">
        <v>54</v>
      </c>
      <c r="K71" s="19" t="str">
        <f aca="false">IF(J71="Yes","Blocked",IF(I71&gt;=1,"Complete",IF(I71&gt;0,"In Progress","Not Started")))</f>
        <v>Not Started</v>
      </c>
      <c r="L71" s="19" t="str">
        <f aca="false">IF(K71="Complete","Done",IF(K71="Blocked","Blocked",IF(OR(F71="",G71=""),"No dates",IF(G71&lt;Summary!$C$3,"OVERDUE",IF(G71-Summary!$C$3&lt;=7,"Due in 7 days","On track")))))</f>
        <v>On track</v>
      </c>
      <c r="M71" s="22"/>
      <c r="N71" s="19" t="n">
        <v>69</v>
      </c>
      <c r="O71" s="22"/>
      <c r="P71" s="19" t="s">
        <v>55</v>
      </c>
    </row>
    <row r="72" customFormat="false" ht="23.85" hidden="false" customHeight="false" outlineLevel="0" collapsed="false">
      <c r="A72" s="19" t="s">
        <v>245</v>
      </c>
      <c r="B72" s="30" t="s">
        <v>16</v>
      </c>
      <c r="C72" s="21" t="s">
        <v>217</v>
      </c>
      <c r="D72" s="21" t="s">
        <v>246</v>
      </c>
      <c r="E72" s="22" t="s">
        <v>23</v>
      </c>
      <c r="F72" s="23"/>
      <c r="G72" s="23"/>
      <c r="H72" s="24" t="str">
        <f aca="false">IF(OR(F72="",G72=""),"",G72-F72)</f>
        <v/>
      </c>
      <c r="I72" s="25" t="n">
        <v>0</v>
      </c>
      <c r="J72" s="26" t="s">
        <v>54</v>
      </c>
      <c r="K72" s="19" t="str">
        <f aca="false">IF(J72="Yes","Blocked",IF(I72&gt;=1,"Complete",IF(I72&gt;0,"In Progress","Not Started")))</f>
        <v>Not Started</v>
      </c>
      <c r="L72" s="19" t="str">
        <f aca="false">IF(K72="Complete","Done",IF(K72="Blocked","Blocked",IF(OR(F72="",G72=""),"No dates",IF(G72&lt;Summary!$C$3,"OVERDUE",IF(G72-Summary!$C$3&lt;=7,"Due in 7 days","On track")))))</f>
        <v>No dates</v>
      </c>
      <c r="M72" s="22"/>
      <c r="N72" s="19" t="n">
        <v>70</v>
      </c>
      <c r="O72" s="22" t="s">
        <v>219</v>
      </c>
      <c r="P72" s="19" t="s">
        <v>55</v>
      </c>
    </row>
    <row r="73" customFormat="false" ht="23.85" hidden="false" customHeight="false" outlineLevel="0" collapsed="false">
      <c r="A73" s="19" t="s">
        <v>247</v>
      </c>
      <c r="B73" s="30" t="s">
        <v>16</v>
      </c>
      <c r="C73" s="21" t="s">
        <v>152</v>
      </c>
      <c r="D73" s="21" t="s">
        <v>248</v>
      </c>
      <c r="E73" s="22" t="s">
        <v>23</v>
      </c>
      <c r="F73" s="23"/>
      <c r="G73" s="23"/>
      <c r="H73" s="24" t="str">
        <f aca="false">IF(OR(F73="",G73=""),"",G73-F73)</f>
        <v/>
      </c>
      <c r="I73" s="25" t="n">
        <v>0</v>
      </c>
      <c r="J73" s="26" t="s">
        <v>54</v>
      </c>
      <c r="K73" s="19" t="str">
        <f aca="false">IF(J73="Yes","Blocked",IF(I73&gt;=1,"Complete",IF(I73&gt;0,"In Progress","Not Started")))</f>
        <v>Not Started</v>
      </c>
      <c r="L73" s="19" t="str">
        <f aca="false">IF(K73="Complete","Done",IF(K73="Blocked","Blocked",IF(OR(F73="",G73=""),"No dates",IF(G73&lt;Summary!$C$3,"OVERDUE",IF(G73-Summary!$C$3&lt;=7,"Due in 7 days","On track")))))</f>
        <v>No dates</v>
      </c>
      <c r="M73" s="22"/>
      <c r="N73" s="19" t="s">
        <v>249</v>
      </c>
      <c r="O73" s="22" t="s">
        <v>250</v>
      </c>
      <c r="P73" s="19" t="s">
        <v>72</v>
      </c>
    </row>
  </sheetData>
  <autoFilter ref="A4:P73"/>
  <conditionalFormatting sqref="K5:K73">
    <cfRule type="cellIs" priority="2" operator="equal" aboveAverage="0" equalAverage="0" bottom="0" percent="0" rank="0" text="" dxfId="15">
      <formula>"Complete"</formula>
    </cfRule>
    <cfRule type="cellIs" priority="3" operator="equal" aboveAverage="0" equalAverage="0" bottom="0" percent="0" rank="0" text="" dxfId="16">
      <formula>"In Progress"</formula>
    </cfRule>
    <cfRule type="cellIs" priority="4" operator="equal" aboveAverage="0" equalAverage="0" bottom="0" percent="0" rank="0" text="" dxfId="17">
      <formula>"Blocked"</formula>
    </cfRule>
    <cfRule type="cellIs" priority="5" operator="equal" aboveAverage="0" equalAverage="0" bottom="0" percent="0" rank="0" text="" dxfId="18">
      <formula>"Not Started"</formula>
    </cfRule>
    <cfRule type="cellIs" priority="6" operator="equal" aboveAverage="0" equalAverage="0" bottom="0" percent="0" rank="0" text="" dxfId="19">
      <formula>"OVERDUE"</formula>
    </cfRule>
    <cfRule type="cellIs" priority="7" operator="equal" aboveAverage="0" equalAverage="0" bottom="0" percent="0" rank="0" text="" dxfId="20">
      <formula>"Due in 7 days"</formula>
    </cfRule>
    <cfRule type="cellIs" priority="8" operator="equal" aboveAverage="0" equalAverage="0" bottom="0" percent="0" rank="0" text="" dxfId="15">
      <formula>"On track"</formula>
    </cfRule>
    <cfRule type="cellIs" priority="9" operator="equal" aboveAverage="0" equalAverage="0" bottom="0" percent="0" rank="0" text="" dxfId="15">
      <formula>"Done"</formula>
    </cfRule>
  </conditionalFormatting>
  <conditionalFormatting sqref="L5:L73">
    <cfRule type="cellIs" priority="10" operator="equal" aboveAverage="0" equalAverage="0" bottom="0" percent="0" rank="0" text="" dxfId="15">
      <formula>"Complete"</formula>
    </cfRule>
    <cfRule type="cellIs" priority="11" operator="equal" aboveAverage="0" equalAverage="0" bottom="0" percent="0" rank="0" text="" dxfId="16">
      <formula>"In Progress"</formula>
    </cfRule>
    <cfRule type="cellIs" priority="12" operator="equal" aboveAverage="0" equalAverage="0" bottom="0" percent="0" rank="0" text="" dxfId="17">
      <formula>"Blocked"</formula>
    </cfRule>
    <cfRule type="cellIs" priority="13" operator="equal" aboveAverage="0" equalAverage="0" bottom="0" percent="0" rank="0" text="" dxfId="18">
      <formula>"Not Started"</formula>
    </cfRule>
    <cfRule type="cellIs" priority="14" operator="equal" aboveAverage="0" equalAverage="0" bottom="0" percent="0" rank="0" text="" dxfId="19">
      <formula>"OVERDUE"</formula>
    </cfRule>
    <cfRule type="cellIs" priority="15" operator="equal" aboveAverage="0" equalAverage="0" bottom="0" percent="0" rank="0" text="" dxfId="20">
      <formula>"Due in 7 days"</formula>
    </cfRule>
    <cfRule type="cellIs" priority="16" operator="equal" aboveAverage="0" equalAverage="0" bottom="0" percent="0" rank="0" text="" dxfId="15">
      <formula>"On track"</formula>
    </cfRule>
    <cfRule type="cellIs" priority="17" operator="equal" aboveAverage="0" equalAverage="0" bottom="0" percent="0" rank="0" text="" dxfId="15">
      <formula>"Done"</formula>
    </cfRule>
  </conditionalFormatting>
  <conditionalFormatting sqref="I5:I73">
    <cfRule type="dataBar" priority="18">
      <dataBar showValue="1" minLength="10" maxLength="90">
        <cfvo type="num" val="0"/>
        <cfvo type="num" val="1"/>
        <color rgb="FF63BE7B"/>
      </dataBar>
      <extLst>
        <ext xmlns:x14="http://schemas.microsoft.com/office/spreadsheetml/2009/9/main" uri="{B025F937-C7B1-47D3-B67F-A62EFF666E3E}">
          <x14:id>{89546812-AB65-4DF6-B120-A380498418F1}</x14:id>
        </ext>
      </extLst>
    </cfRule>
  </conditionalFormatting>
  <dataValidations count="3">
    <dataValidation allowBlank="false" errorStyle="stop" operator="between" showDropDown="false" showErrorMessage="false" showInputMessage="false" sqref="B5:B73" type="list">
      <formula1>"UI,Backend,API,LLM &amp; RAG,Testing &amp; Release"</formula1>
      <formula2>0</formula2>
    </dataValidation>
    <dataValidation allowBlank="false" errorStyle="stop" operator="between" showDropDown="false" showErrorMessage="false" showInputMessage="false" sqref="J5:J73" type="list">
      <formula1>"Yes,No"</formula1>
      <formula2>0</formula2>
    </dataValidation>
    <dataValidation allowBlank="false" error="Enter a value between 0% and 100%" errorStyle="stop" errorTitle="Invalid %" operator="between" showDropDown="false" showErrorMessage="true" showInputMessage="false" sqref="I5:I73"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89546812-AB65-4DF6-B120-A380498418F1}">
            <x14:dataBar minLength="10" maxLength="90" axisPosition="none" gradient="true">
              <x14:cfvo type="num">
                <xm:f>0</xm:f>
              </x14:cfvo>
              <x14:cfvo type="num">
                <xm:f>1</xm:f>
              </x14:cfvo>
              <x14:negativeFillColor rgb="FF63BE7B"/>
              <x14:axisColor rgb="FF000000"/>
            </x14:dataBar>
          </x14:cfRule>
          <xm:sqref>I5:I73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60"/>
    <col collapsed="false" customWidth="true" hidden="false" outlineLevel="0" max="4" min="4" style="0" width="16"/>
    <col collapsed="false" customWidth="true" hidden="false" outlineLevel="0" max="6" min="5" style="0" width="13"/>
    <col collapsed="false" customWidth="true" hidden="false" outlineLevel="0" max="7" min="7" style="0" width="10"/>
    <col collapsed="false" customWidth="true" hidden="false" outlineLevel="0" max="8" min="8" style="0" width="12"/>
    <col collapsed="false" customWidth="true" hidden="false" outlineLevel="0" max="9" min="9" style="0" width="15"/>
    <col collapsed="false" customWidth="true" hidden="false" outlineLevel="0" max="10" min="10" style="0" width="50"/>
    <col collapsed="false" customWidth="true" hidden="false" outlineLevel="0" max="11" min="11" style="0" width="13"/>
  </cols>
  <sheetData>
    <row r="1" customFormat="false" ht="17.35" hidden="false" customHeight="false" outlineLevel="0" collapsed="false">
      <c r="A1" s="1" t="s">
        <v>251</v>
      </c>
      <c r="F1" s="31" t="s">
        <v>252</v>
      </c>
      <c r="G1" s="2" t="n">
        <f aca="false">COUNTIF('Master Plan'!$B$5:$B$73,"UI")</f>
        <v>5</v>
      </c>
      <c r="H1" s="31" t="s">
        <v>253</v>
      </c>
      <c r="I1" s="32" t="n">
        <f aca="false">IFERROR(AVERAGEIFS('Master Plan'!$I$5:$I$73,'Master Plan'!$B$5:$B$73,"UI"),0)</f>
        <v>0.26</v>
      </c>
    </row>
    <row r="2" customFormat="false" ht="15" hidden="false" customHeight="false" outlineLevel="0" collapsed="false">
      <c r="A2" s="4" t="s">
        <v>254</v>
      </c>
    </row>
    <row r="4" customFormat="false" ht="30" hidden="false" customHeight="true" outlineLevel="0" collapsed="false">
      <c r="A4" s="5" t="s">
        <v>37</v>
      </c>
      <c r="B4" s="5" t="s">
        <v>38</v>
      </c>
      <c r="C4" s="5" t="s">
        <v>39</v>
      </c>
      <c r="D4" s="5" t="s">
        <v>18</v>
      </c>
      <c r="E4" s="5" t="s">
        <v>40</v>
      </c>
      <c r="F4" s="5" t="s">
        <v>41</v>
      </c>
      <c r="G4" s="5" t="s">
        <v>43</v>
      </c>
      <c r="H4" s="5" t="s">
        <v>45</v>
      </c>
      <c r="I4" s="5" t="s">
        <v>46</v>
      </c>
      <c r="J4" s="5" t="s">
        <v>47</v>
      </c>
      <c r="K4" s="5" t="s">
        <v>50</v>
      </c>
    </row>
    <row r="5" customFormat="false" ht="15" hidden="false" customHeight="false" outlineLevel="0" collapsed="false">
      <c r="A5" s="33" t="str">
        <f aca="false">IF('Master Plan'!A5="","",'Master Plan'!A5)</f>
        <v>T-001</v>
      </c>
      <c r="B5" s="34" t="str">
        <f aca="false">IF('Master Plan'!C5="","",'Master Plan'!C5)</f>
        <v>Project Setup</v>
      </c>
      <c r="C5" s="34" t="str">
        <f aca="false">IF('Master Plan'!D5="","",'Master Plan'!D5)</f>
        <v>UI folder setup and Login</v>
      </c>
      <c r="D5" s="34" t="str">
        <f aca="false">IF('Master Plan'!E5="","",'Master Plan'!E5)</f>
        <v>Abhik</v>
      </c>
      <c r="E5" s="35" t="n">
        <f aca="false">IF('Master Plan'!F5="","",'Master Plan'!F5)</f>
        <v>46286</v>
      </c>
      <c r="F5" s="35" t="n">
        <f aca="false">IF('Master Plan'!G5="","",'Master Plan'!G5)</f>
        <v>46304</v>
      </c>
      <c r="G5" s="36" t="n">
        <f aca="false">IF('Master Plan'!I5="","",'Master Plan'!I5)</f>
        <v>1</v>
      </c>
      <c r="H5" s="33" t="str">
        <f aca="false">IF('Master Plan'!K5="","",'Master Plan'!K5)</f>
        <v>Complete</v>
      </c>
      <c r="I5" s="33" t="str">
        <f aca="false">IF('Master Plan'!L5="","",'Master Plan'!L5)</f>
        <v>Done</v>
      </c>
      <c r="J5" s="34" t="str">
        <f aca="false">IF('Master Plan'!M5="","",'Master Plan'!M5)</f>
        <v/>
      </c>
      <c r="K5" s="34" t="str">
        <f aca="false">IF('Master Plan'!P5="","",'Master Plan'!P5)</f>
        <v>Project Plan</v>
      </c>
    </row>
    <row r="6" customFormat="false" ht="23.85" hidden="false" customHeight="false" outlineLevel="0" collapsed="false">
      <c r="A6" s="33" t="str">
        <f aca="false">IF('Master Plan'!A6="","",'Master Plan'!A6)</f>
        <v>T-002</v>
      </c>
      <c r="B6" s="34" t="str">
        <f aca="false">IF('Master Plan'!C6="","",'Master Plan'!C6)</f>
        <v>Header Section</v>
      </c>
      <c r="C6" s="34" t="str">
        <f aca="false">IF('Master Plan'!D6="","",'Master Plan'!D6)</f>
        <v>UI design for collecting Header fields info (Engineer name, Date, Model, Report, Revision version)</v>
      </c>
      <c r="D6" s="34" t="str">
        <f aca="false">IF('Master Plan'!E6="","",'Master Plan'!E6)</f>
        <v>Abhik</v>
      </c>
      <c r="E6" s="35" t="n">
        <f aca="false">IF('Master Plan'!F6="","",'Master Plan'!F6)</f>
        <v>46293</v>
      </c>
      <c r="F6" s="35" t="n">
        <f aca="false">IF('Master Plan'!G6="","",'Master Plan'!G6)</f>
        <v>46318</v>
      </c>
      <c r="G6" s="36" t="n">
        <f aca="false">IF('Master Plan'!I6="","",'Master Plan'!I6)</f>
        <v>0.1</v>
      </c>
      <c r="H6" s="33" t="str">
        <f aca="false">IF('Master Plan'!K6="","",'Master Plan'!K6)</f>
        <v>In Progress</v>
      </c>
      <c r="I6" s="33" t="str">
        <f aca="false">IF('Master Plan'!L6="","",'Master Plan'!L6)</f>
        <v>On track</v>
      </c>
      <c r="J6" s="34" t="str">
        <f aca="false">IF('Master Plan'!M6="","",'Master Plan'!M6)</f>
        <v/>
      </c>
      <c r="K6" s="34" t="str">
        <f aca="false">IF('Master Plan'!P6="","",'Master Plan'!P6)</f>
        <v>Project Plan</v>
      </c>
    </row>
    <row r="7" customFormat="false" ht="23.85" hidden="false" customHeight="false" outlineLevel="0" collapsed="false">
      <c r="A7" s="33" t="str">
        <f aca="false">IF('Master Plan'!A7="","",'Master Plan'!A7)</f>
        <v>T-003</v>
      </c>
      <c r="B7" s="34" t="str">
        <f aca="false">IF('Master Plan'!C7="","",'Master Plan'!C7)</f>
        <v>Revision Record Table</v>
      </c>
      <c r="C7" s="34" t="str">
        <f aca="false">IF('Master Plan'!D7="","",'Master Plan'!D7)</f>
        <v>UI to collect Revision changes (Revision, Date, Change Description, Approvals)</v>
      </c>
      <c r="D7" s="34" t="str">
        <f aca="false">IF('Master Plan'!E7="","",'Master Plan'!E7)</f>
        <v>Abhik</v>
      </c>
      <c r="E7" s="35" t="n">
        <f aca="false">IF('Master Plan'!F7="","",'Master Plan'!F7)</f>
        <v>46304</v>
      </c>
      <c r="F7" s="35" t="n">
        <f aca="false">IF('Master Plan'!G7="","",'Master Plan'!G7)</f>
        <v>46318</v>
      </c>
      <c r="G7" s="36" t="n">
        <f aca="false">IF('Master Plan'!I7="","",'Master Plan'!I7)</f>
        <v>0.2</v>
      </c>
      <c r="H7" s="33" t="str">
        <f aca="false">IF('Master Plan'!K7="","",'Master Plan'!K7)</f>
        <v>In Progress</v>
      </c>
      <c r="I7" s="33" t="str">
        <f aca="false">IF('Master Plan'!L7="","",'Master Plan'!L7)</f>
        <v>On track</v>
      </c>
      <c r="J7" s="34" t="str">
        <f aca="false">IF('Master Plan'!M7="","",'Master Plan'!M7)</f>
        <v/>
      </c>
      <c r="K7" s="34" t="str">
        <f aca="false">IF('Master Plan'!P7="","",'Master Plan'!P7)</f>
        <v>Project Plan</v>
      </c>
    </row>
    <row r="8" customFormat="false" ht="15" hidden="false" customHeight="false" outlineLevel="0" collapsed="false">
      <c r="A8" s="33" t="str">
        <f aca="false">IF('Master Plan'!A8="","",'Master Plan'!A8)</f>
        <v>T-004</v>
      </c>
      <c r="B8" s="34" t="str">
        <f aca="false">IF('Master Plan'!C8="","",'Master Plan'!C8)</f>
        <v>Component Description</v>
      </c>
      <c r="C8" s="34" t="str">
        <f aca="false">IF('Master Plan'!D8="","",'Master Plan'!D8)</f>
        <v>UI to capture Program, Component, Loads</v>
      </c>
      <c r="D8" s="34" t="str">
        <f aca="false">IF('Master Plan'!E8="","",'Master Plan'!E8)</f>
        <v>Abhik</v>
      </c>
      <c r="E8" s="35" t="n">
        <f aca="false">IF('Master Plan'!F8="","",'Master Plan'!F8)</f>
        <v>46286</v>
      </c>
      <c r="F8" s="35" t="n">
        <f aca="false">IF('Master Plan'!G8="","",'Master Plan'!G8)</f>
        <v>46304</v>
      </c>
      <c r="G8" s="36" t="n">
        <f aca="false">IF('Master Plan'!I8="","",'Master Plan'!I8)</f>
        <v>0</v>
      </c>
      <c r="H8" s="33" t="str">
        <f aca="false">IF('Master Plan'!K8="","",'Master Plan'!K8)</f>
        <v>Not Started</v>
      </c>
      <c r="I8" s="33" t="str">
        <f aca="false">IF('Master Plan'!L8="","",'Master Plan'!L8)</f>
        <v>OVERDUE</v>
      </c>
      <c r="J8" s="34" t="str">
        <f aca="false">IF('Master Plan'!M8="","",'Master Plan'!M8)</f>
        <v/>
      </c>
      <c r="K8" s="34" t="str">
        <f aca="false">IF('Master Plan'!P8="","",'Master Plan'!P8)</f>
        <v>Project Plan</v>
      </c>
    </row>
    <row r="9" customFormat="false" ht="15" hidden="false" customHeight="false" outlineLevel="0" collapsed="false">
      <c r="A9" s="33" t="str">
        <f aca="false">IF('Master Plan'!A9="","",'Master Plan'!A9)</f>
        <v>T-005</v>
      </c>
      <c r="B9" s="34" t="str">
        <f aca="false">IF('Master Plan'!C9="","",'Master Plan'!C9)</f>
        <v>FEM Description</v>
      </c>
      <c r="C9" s="34" t="str">
        <f aca="false">IF('Master Plan'!D9="","",'Master Plan'!D9)</f>
        <v>UI for uploading BDF and DAT input files</v>
      </c>
      <c r="D9" s="34" t="str">
        <f aca="false">IF('Master Plan'!E9="","",'Master Plan'!E9)</f>
        <v>Unassigned</v>
      </c>
      <c r="E9" s="35" t="str">
        <f aca="false">IF('Master Plan'!F9="","",'Master Plan'!F9)</f>
        <v/>
      </c>
      <c r="F9" s="35" t="str">
        <f aca="false">IF('Master Plan'!G9="","",'Master Plan'!G9)</f>
        <v/>
      </c>
      <c r="G9" s="36" t="n">
        <f aca="false">IF('Master Plan'!I9="","",'Master Plan'!I9)</f>
        <v>0</v>
      </c>
      <c r="H9" s="33" t="str">
        <f aca="false">IF('Master Plan'!K9="","",'Master Plan'!K9)</f>
        <v>Not Started</v>
      </c>
      <c r="I9" s="33" t="str">
        <f aca="false">IF('Master Plan'!L9="","",'Master Plan'!L9)</f>
        <v>No dates</v>
      </c>
      <c r="J9" s="34" t="str">
        <f aca="false">IF('Master Plan'!M9="","",'Master Plan'!M9)</f>
        <v/>
      </c>
      <c r="K9" s="34" t="str">
        <f aca="false">IF('Master Plan'!P9="","",'Master Plan'!P9)</f>
        <v>Proposed</v>
      </c>
    </row>
  </sheetData>
  <autoFilter ref="A4:K9"/>
  <conditionalFormatting sqref="H5:H9">
    <cfRule type="cellIs" priority="2" operator="equal" aboveAverage="0" equalAverage="0" bottom="0" percent="0" rank="0" text="" dxfId="15">
      <formula>"Complete"</formula>
    </cfRule>
    <cfRule type="cellIs" priority="3" operator="equal" aboveAverage="0" equalAverage="0" bottom="0" percent="0" rank="0" text="" dxfId="16">
      <formula>"In Progress"</formula>
    </cfRule>
    <cfRule type="cellIs" priority="4" operator="equal" aboveAverage="0" equalAverage="0" bottom="0" percent="0" rank="0" text="" dxfId="17">
      <formula>"Blocked"</formula>
    </cfRule>
    <cfRule type="cellIs" priority="5" operator="equal" aboveAverage="0" equalAverage="0" bottom="0" percent="0" rank="0" text="" dxfId="18">
      <formula>"Not Started"</formula>
    </cfRule>
    <cfRule type="cellIs" priority="6" operator="equal" aboveAverage="0" equalAverage="0" bottom="0" percent="0" rank="0" text="" dxfId="19">
      <formula>"OVERDUE"</formula>
    </cfRule>
    <cfRule type="cellIs" priority="7" operator="equal" aboveAverage="0" equalAverage="0" bottom="0" percent="0" rank="0" text="" dxfId="20">
      <formula>"Due in 7 days"</formula>
    </cfRule>
    <cfRule type="cellIs" priority="8" operator="equal" aboveAverage="0" equalAverage="0" bottom="0" percent="0" rank="0" text="" dxfId="15">
      <formula>"On track"</formula>
    </cfRule>
    <cfRule type="cellIs" priority="9" operator="equal" aboveAverage="0" equalAverage="0" bottom="0" percent="0" rank="0" text="" dxfId="15">
      <formula>"Done"</formula>
    </cfRule>
  </conditionalFormatting>
  <conditionalFormatting sqref="I5:I9">
    <cfRule type="cellIs" priority="10" operator="equal" aboveAverage="0" equalAverage="0" bottom="0" percent="0" rank="0" text="" dxfId="15">
      <formula>"Complete"</formula>
    </cfRule>
    <cfRule type="cellIs" priority="11" operator="equal" aboveAverage="0" equalAverage="0" bottom="0" percent="0" rank="0" text="" dxfId="16">
      <formula>"In Progress"</formula>
    </cfRule>
    <cfRule type="cellIs" priority="12" operator="equal" aboveAverage="0" equalAverage="0" bottom="0" percent="0" rank="0" text="" dxfId="17">
      <formula>"Blocked"</formula>
    </cfRule>
    <cfRule type="cellIs" priority="13" operator="equal" aboveAverage="0" equalAverage="0" bottom="0" percent="0" rank="0" text="" dxfId="18">
      <formula>"Not Started"</formula>
    </cfRule>
    <cfRule type="cellIs" priority="14" operator="equal" aboveAverage="0" equalAverage="0" bottom="0" percent="0" rank="0" text="" dxfId="19">
      <formula>"OVERDUE"</formula>
    </cfRule>
    <cfRule type="cellIs" priority="15" operator="equal" aboveAverage="0" equalAverage="0" bottom="0" percent="0" rank="0" text="" dxfId="20">
      <formula>"Due in 7 days"</formula>
    </cfRule>
    <cfRule type="cellIs" priority="16" operator="equal" aboveAverage="0" equalAverage="0" bottom="0" percent="0" rank="0" text="" dxfId="15">
      <formula>"On track"</formula>
    </cfRule>
    <cfRule type="cellIs" priority="17" operator="equal" aboveAverage="0" equalAverage="0" bottom="0" percent="0" rank="0" text="" dxfId="15">
      <formula>"Done"</formula>
    </cfRule>
  </conditionalFormatting>
  <conditionalFormatting sqref="G5:G9">
    <cfRule type="dataBar" priority="18">
      <dataBar showValue="1" minLength="10" maxLength="90">
        <cfvo type="num" val="0"/>
        <cfvo type="num" val="1"/>
        <color rgb="FF63BE7B"/>
      </dataBar>
      <extLst>
        <ext xmlns:x14="http://schemas.microsoft.com/office/spreadsheetml/2009/9/main" uri="{B025F937-C7B1-47D3-B67F-A62EFF666E3E}">
          <x14:id>{59321127-123A-471F-BB1F-7087DB607CC4}</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9321127-123A-471F-BB1F-7087DB607CC4}">
            <x14:dataBar minLength="10" maxLength="90" axisPosition="none" gradient="true">
              <x14:cfvo type="num">
                <xm:f>0</xm:f>
              </x14:cfvo>
              <x14:cfvo type="num">
                <xm:f>1</xm:f>
              </x14:cfvo>
              <x14:negativeFillColor rgb="FF63BE7B"/>
              <x14:axisColor rgb="FF000000"/>
            </x14:dataBar>
          </x14:cfRule>
          <xm:sqref>G5:G9</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K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60"/>
    <col collapsed="false" customWidth="true" hidden="false" outlineLevel="0" max="4" min="4" style="0" width="16"/>
    <col collapsed="false" customWidth="true" hidden="false" outlineLevel="0" max="6" min="5" style="0" width="13"/>
    <col collapsed="false" customWidth="true" hidden="false" outlineLevel="0" max="7" min="7" style="0" width="10"/>
    <col collapsed="false" customWidth="true" hidden="false" outlineLevel="0" max="8" min="8" style="0" width="12"/>
    <col collapsed="false" customWidth="true" hidden="false" outlineLevel="0" max="9" min="9" style="0" width="15"/>
    <col collapsed="false" customWidth="true" hidden="false" outlineLevel="0" max="10" min="10" style="0" width="50"/>
    <col collapsed="false" customWidth="true" hidden="false" outlineLevel="0" max="11" min="11" style="0" width="13"/>
  </cols>
  <sheetData>
    <row r="1" customFormat="false" ht="17.35" hidden="false" customHeight="false" outlineLevel="0" collapsed="false">
      <c r="A1" s="1" t="s">
        <v>255</v>
      </c>
      <c r="F1" s="31" t="s">
        <v>252</v>
      </c>
      <c r="G1" s="2" t="n">
        <f aca="false">COUNTIF('Master Plan'!$B$5:$B$73,"Backend")</f>
        <v>38</v>
      </c>
      <c r="H1" s="31" t="s">
        <v>253</v>
      </c>
      <c r="I1" s="32" t="n">
        <f aca="false">IFERROR(AVERAGEIFS('Master Plan'!$I$5:$I$73,'Master Plan'!$B$5:$B$73,"Backend"),0)</f>
        <v>0.134210526315789</v>
      </c>
    </row>
    <row r="2" customFormat="false" ht="15" hidden="false" customHeight="false" outlineLevel="0" collapsed="false">
      <c r="A2" s="4" t="s">
        <v>254</v>
      </c>
    </row>
    <row r="4" customFormat="false" ht="30" hidden="false" customHeight="true" outlineLevel="0" collapsed="false">
      <c r="A4" s="5" t="s">
        <v>37</v>
      </c>
      <c r="B4" s="5" t="s">
        <v>38</v>
      </c>
      <c r="C4" s="5" t="s">
        <v>39</v>
      </c>
      <c r="D4" s="5" t="s">
        <v>18</v>
      </c>
      <c r="E4" s="5" t="s">
        <v>40</v>
      </c>
      <c r="F4" s="5" t="s">
        <v>41</v>
      </c>
      <c r="G4" s="5" t="s">
        <v>43</v>
      </c>
      <c r="H4" s="5" t="s">
        <v>45</v>
      </c>
      <c r="I4" s="5" t="s">
        <v>46</v>
      </c>
      <c r="J4" s="5" t="s">
        <v>47</v>
      </c>
      <c r="K4" s="5" t="s">
        <v>50</v>
      </c>
    </row>
    <row r="5" customFormat="false" ht="15" hidden="false" customHeight="false" outlineLevel="0" collapsed="false">
      <c r="A5" s="33" t="str">
        <f aca="false">IF('Master Plan'!A10="","",'Master Plan'!A10)</f>
        <v>T-006</v>
      </c>
      <c r="B5" s="34" t="str">
        <f aca="false">IF('Master Plan'!C10="","",'Master Plan'!C10)</f>
        <v>Project Setup</v>
      </c>
      <c r="C5" s="34" t="str">
        <f aca="false">IF('Master Plan'!D10="","",'Master Plan'!D10)</f>
        <v>Postgres database setup and data model to store login info (local env)</v>
      </c>
      <c r="D5" s="34" t="str">
        <f aca="false">IF('Master Plan'!E10="","",'Master Plan'!E10)</f>
        <v>Abhik</v>
      </c>
      <c r="E5" s="35" t="n">
        <f aca="false">IF('Master Plan'!F10="","",'Master Plan'!F10)</f>
        <v>46286</v>
      </c>
      <c r="F5" s="35" t="n">
        <f aca="false">IF('Master Plan'!G10="","",'Master Plan'!G10)</f>
        <v>46304</v>
      </c>
      <c r="G5" s="36" t="n">
        <f aca="false">IF('Master Plan'!I10="","",'Master Plan'!I10)</f>
        <v>0.9</v>
      </c>
      <c r="H5" s="33" t="str">
        <f aca="false">IF('Master Plan'!K10="","",'Master Plan'!K10)</f>
        <v>In Progress</v>
      </c>
      <c r="I5" s="33" t="str">
        <f aca="false">IF('Master Plan'!L10="","",'Master Plan'!L10)</f>
        <v>OVERDUE</v>
      </c>
      <c r="J5" s="34" t="str">
        <f aca="false">IF('Master Plan'!M10="","",'Master Plan'!M10)</f>
        <v/>
      </c>
      <c r="K5" s="34" t="str">
        <f aca="false">IF('Master Plan'!P10="","",'Master Plan'!P10)</f>
        <v>Project Plan</v>
      </c>
    </row>
    <row r="6" customFormat="false" ht="15" hidden="false" customHeight="false" outlineLevel="0" collapsed="false">
      <c r="A6" s="33" t="str">
        <f aca="false">IF('Master Plan'!A11="","",'Master Plan'!A11)</f>
        <v>T-007</v>
      </c>
      <c r="B6" s="34" t="str">
        <f aca="false">IF('Master Plan'!C11="","",'Master Plan'!C11)</f>
        <v>Header Section</v>
      </c>
      <c r="C6" s="34" t="str">
        <f aca="false">IF('Master Plan'!D11="","",'Master Plan'!D11)</f>
        <v>YAML to add Header section in AR</v>
      </c>
      <c r="D6" s="34" t="str">
        <f aca="false">IF('Master Plan'!E11="","",'Master Plan'!E11)</f>
        <v>Srujan</v>
      </c>
      <c r="E6" s="35" t="n">
        <f aca="false">IF('Master Plan'!F11="","",'Master Plan'!F11)</f>
        <v>46293</v>
      </c>
      <c r="F6" s="35" t="n">
        <f aca="false">IF('Master Plan'!G11="","",'Master Plan'!G11)</f>
        <v>46311</v>
      </c>
      <c r="G6" s="36" t="n">
        <f aca="false">IF('Master Plan'!I11="","",'Master Plan'!I11)</f>
        <v>1</v>
      </c>
      <c r="H6" s="33" t="str">
        <f aca="false">IF('Master Plan'!K11="","",'Master Plan'!K11)</f>
        <v>Complete</v>
      </c>
      <c r="I6" s="33" t="str">
        <f aca="false">IF('Master Plan'!L11="","",'Master Plan'!L11)</f>
        <v>Done</v>
      </c>
      <c r="J6" s="34" t="str">
        <f aca="false">IF('Master Plan'!M11="","",'Master Plan'!M11)</f>
        <v/>
      </c>
      <c r="K6" s="34" t="str">
        <f aca="false">IF('Master Plan'!P11="","",'Master Plan'!P11)</f>
        <v>Project Plan</v>
      </c>
    </row>
    <row r="7" customFormat="false" ht="15" hidden="false" customHeight="false" outlineLevel="0" collapsed="false">
      <c r="A7" s="33" t="str">
        <f aca="false">IF('Master Plan'!A12="","",'Master Plan'!A12)</f>
        <v>T-008</v>
      </c>
      <c r="B7" s="34" t="str">
        <f aca="false">IF('Master Plan'!C12="","",'Master Plan'!C12)</f>
        <v>Table of Contents</v>
      </c>
      <c r="C7" s="34" t="str">
        <f aca="false">IF('Master Plan'!D12="","",'Master Plan'!D12)</f>
        <v>YAML to add TOC section in AR</v>
      </c>
      <c r="D7" s="34" t="str">
        <f aca="false">IF('Master Plan'!E12="","",'Master Plan'!E12)</f>
        <v>Srujan</v>
      </c>
      <c r="E7" s="35" t="n">
        <f aca="false">IF('Master Plan'!F12="","",'Master Plan'!F12)</f>
        <v>46293</v>
      </c>
      <c r="F7" s="35" t="n">
        <f aca="false">IF('Master Plan'!G12="","",'Master Plan'!G12)</f>
        <v>46296</v>
      </c>
      <c r="G7" s="36" t="n">
        <f aca="false">IF('Master Plan'!I12="","",'Master Plan'!I12)</f>
        <v>1</v>
      </c>
      <c r="H7" s="33" t="str">
        <f aca="false">IF('Master Plan'!K12="","",'Master Plan'!K12)</f>
        <v>Complete</v>
      </c>
      <c r="I7" s="33" t="str">
        <f aca="false">IF('Master Plan'!L12="","",'Master Plan'!L12)</f>
        <v>Done</v>
      </c>
      <c r="J7" s="34" t="str">
        <f aca="false">IF('Master Plan'!M12="","",'Master Plan'!M12)</f>
        <v/>
      </c>
      <c r="K7" s="34" t="str">
        <f aca="false">IF('Master Plan'!P12="","",'Master Plan'!P12)</f>
        <v>Project Plan</v>
      </c>
    </row>
    <row r="8" customFormat="false" ht="23.85" hidden="false" customHeight="false" outlineLevel="0" collapsed="false">
      <c r="A8" s="33" t="str">
        <f aca="false">IF('Master Plan'!A13="","",'Master Plan'!A13)</f>
        <v>T-009</v>
      </c>
      <c r="B8" s="34" t="str">
        <f aca="false">IF('Master Plan'!C13="","",'Master Plan'!C13)</f>
        <v>Revision Record Table</v>
      </c>
      <c r="C8" s="34" t="str">
        <f aca="false">IF('Master Plan'!D13="","",'Master Plan'!D13)</f>
        <v>Data model for saving Revision history (only first revision auto-filled; later revisions manual entry)</v>
      </c>
      <c r="D8" s="34" t="str">
        <f aca="false">IF('Master Plan'!E13="","",'Master Plan'!E13)</f>
        <v>Abhik</v>
      </c>
      <c r="E8" s="35" t="n">
        <f aca="false">IF('Master Plan'!F13="","",'Master Plan'!F13)</f>
        <v>46304</v>
      </c>
      <c r="F8" s="35" t="n">
        <f aca="false">IF('Master Plan'!G13="","",'Master Plan'!G13)</f>
        <v>46318</v>
      </c>
      <c r="G8" s="36" t="n">
        <f aca="false">IF('Master Plan'!I13="","",'Master Plan'!I13)</f>
        <v>0.2</v>
      </c>
      <c r="H8" s="33" t="str">
        <f aca="false">IF('Master Plan'!K13="","",'Master Plan'!K13)</f>
        <v>In Progress</v>
      </c>
      <c r="I8" s="33" t="str">
        <f aca="false">IF('Master Plan'!L13="","",'Master Plan'!L13)</f>
        <v>On track</v>
      </c>
      <c r="J8" s="34" t="str">
        <f aca="false">IF('Master Plan'!M13="","",'Master Plan'!M13)</f>
        <v/>
      </c>
      <c r="K8" s="34" t="str">
        <f aca="false">IF('Master Plan'!P13="","",'Master Plan'!P13)</f>
        <v>Project Plan</v>
      </c>
    </row>
    <row r="9" customFormat="false" ht="15" hidden="false" customHeight="false" outlineLevel="0" collapsed="false">
      <c r="A9" s="33" t="str">
        <f aca="false">IF('Master Plan'!A14="","",'Master Plan'!A14)</f>
        <v>T-010</v>
      </c>
      <c r="B9" s="34" t="str">
        <f aca="false">IF('Master Plan'!C14="","",'Master Plan'!C14)</f>
        <v>Revision Record Table</v>
      </c>
      <c r="C9" s="34" t="str">
        <f aca="false">IF('Master Plan'!D14="","",'Master Plan'!D14)</f>
        <v>YAML to add Revision table to AR</v>
      </c>
      <c r="D9" s="34" t="str">
        <f aca="false">IF('Master Plan'!E14="","",'Master Plan'!E14)</f>
        <v>Srujan</v>
      </c>
      <c r="E9" s="35" t="n">
        <f aca="false">IF('Master Plan'!F14="","",'Master Plan'!F14)</f>
        <v>46293</v>
      </c>
      <c r="F9" s="35" t="n">
        <f aca="false">IF('Master Plan'!G14="","",'Master Plan'!G14)</f>
        <v>46311</v>
      </c>
      <c r="G9" s="36" t="n">
        <f aca="false">IF('Master Plan'!I14="","",'Master Plan'!I14)</f>
        <v>1</v>
      </c>
      <c r="H9" s="33" t="str">
        <f aca="false">IF('Master Plan'!K14="","",'Master Plan'!K14)</f>
        <v>Complete</v>
      </c>
      <c r="I9" s="33" t="str">
        <f aca="false">IF('Master Plan'!L14="","",'Master Plan'!L14)</f>
        <v>Done</v>
      </c>
      <c r="J9" s="34" t="str">
        <f aca="false">IF('Master Plan'!M14="","",'Master Plan'!M14)</f>
        <v/>
      </c>
      <c r="K9" s="34" t="str">
        <f aca="false">IF('Master Plan'!P14="","",'Master Plan'!P14)</f>
        <v>Project Plan</v>
      </c>
    </row>
    <row r="10" customFormat="false" ht="15" hidden="false" customHeight="false" outlineLevel="0" collapsed="false">
      <c r="A10" s="33" t="str">
        <f aca="false">IF('Master Plan'!A15="","",'Master Plan'!A15)</f>
        <v>T-011</v>
      </c>
      <c r="B10" s="34" t="str">
        <f aca="false">IF('Master Plan'!C15="","",'Master Plan'!C15)</f>
        <v>List of Parts</v>
      </c>
      <c r="C10" s="34" t="str">
        <f aca="false">IF('Master Plan'!D15="","",'Master Plan'!D15)</f>
        <v>Automation to extract List of Parts from BOMSTR</v>
      </c>
      <c r="D10" s="34" t="str">
        <f aca="false">IF('Master Plan'!E15="","",'Master Plan'!E15)</f>
        <v>Unassigned</v>
      </c>
      <c r="E10" s="35" t="str">
        <f aca="false">IF('Master Plan'!F15="","",'Master Plan'!F15)</f>
        <v/>
      </c>
      <c r="F10" s="35" t="str">
        <f aca="false">IF('Master Plan'!G15="","",'Master Plan'!G15)</f>
        <v/>
      </c>
      <c r="G10" s="36" t="n">
        <f aca="false">IF('Master Plan'!I15="","",'Master Plan'!I15)</f>
        <v>0</v>
      </c>
      <c r="H10" s="33" t="str">
        <f aca="false">IF('Master Plan'!K15="","",'Master Plan'!K15)</f>
        <v>Blocked</v>
      </c>
      <c r="I10" s="33" t="str">
        <f aca="false">IF('Master Plan'!L15="","",'Master Plan'!L15)</f>
        <v>Blocked</v>
      </c>
      <c r="J10" s="34" t="str">
        <f aca="false">IF('Master Plan'!M15="","",'Master Plan'!M15)</f>
        <v>ASG Team to confirm if BOMSTR or Drawing PDF?</v>
      </c>
      <c r="K10" s="34" t="str">
        <f aca="false">IF('Master Plan'!P15="","",'Master Plan'!P15)</f>
        <v>Project Plan</v>
      </c>
    </row>
    <row r="11" customFormat="false" ht="15" hidden="false" customHeight="false" outlineLevel="0" collapsed="false">
      <c r="A11" s="33" t="str">
        <f aca="false">IF('Master Plan'!A16="","",'Master Plan'!A16)</f>
        <v>T-012</v>
      </c>
      <c r="B11" s="34" t="str">
        <f aca="false">IF('Master Plan'!C16="","",'Master Plan'!C16)</f>
        <v>List of Parts</v>
      </c>
      <c r="C11" s="34" t="str">
        <f aca="false">IF('Master Plan'!D16="","",'Master Plan'!D16)</f>
        <v>Automation/OCR to extract List of Parts from Drawing documents</v>
      </c>
      <c r="D11" s="34" t="str">
        <f aca="false">IF('Master Plan'!E16="","",'Master Plan'!E16)</f>
        <v>Unassigned</v>
      </c>
      <c r="E11" s="35" t="str">
        <f aca="false">IF('Master Plan'!F16="","",'Master Plan'!F16)</f>
        <v/>
      </c>
      <c r="F11" s="35" t="str">
        <f aca="false">IF('Master Plan'!G16="","",'Master Plan'!G16)</f>
        <v/>
      </c>
      <c r="G11" s="36" t="n">
        <f aca="false">IF('Master Plan'!I16="","",'Master Plan'!I16)</f>
        <v>0</v>
      </c>
      <c r="H11" s="33" t="str">
        <f aca="false">IF('Master Plan'!K16="","",'Master Plan'!K16)</f>
        <v>Blocked</v>
      </c>
      <c r="I11" s="33" t="str">
        <f aca="false">IF('Master Plan'!L16="","",'Master Plan'!L16)</f>
        <v>Blocked</v>
      </c>
      <c r="J11" s="34" t="str">
        <f aca="false">IF('Master Plan'!M16="","",'Master Plan'!M16)</f>
        <v>ASG Team to confirm if BOMSTR or Drawing PDF?</v>
      </c>
      <c r="K11" s="34" t="str">
        <f aca="false">IF('Master Plan'!P16="","",'Master Plan'!P16)</f>
        <v>Project Plan</v>
      </c>
    </row>
    <row r="12" customFormat="false" ht="15" hidden="false" customHeight="false" outlineLevel="0" collapsed="false">
      <c r="A12" s="33" t="str">
        <f aca="false">IF('Master Plan'!A17="","",'Master Plan'!A17)</f>
        <v>T-013</v>
      </c>
      <c r="B12" s="34" t="str">
        <f aca="false">IF('Master Plan'!C17="","",'Master Plan'!C17)</f>
        <v>List of Parts</v>
      </c>
      <c r="C12" s="34" t="str">
        <f aca="false">IF('Master Plan'!D17="","",'Master Plan'!D17)</f>
        <v>Automation to download PDF from Teamcenter</v>
      </c>
      <c r="D12" s="34" t="str">
        <f aca="false">IF('Master Plan'!E17="","",'Master Plan'!E17)</f>
        <v>Unassigned</v>
      </c>
      <c r="E12" s="35" t="str">
        <f aca="false">IF('Master Plan'!F17="","",'Master Plan'!F17)</f>
        <v/>
      </c>
      <c r="F12" s="35" t="str">
        <f aca="false">IF('Master Plan'!G17="","",'Master Plan'!G17)</f>
        <v/>
      </c>
      <c r="G12" s="36" t="n">
        <f aca="false">IF('Master Plan'!I17="","",'Master Plan'!I17)</f>
        <v>0</v>
      </c>
      <c r="H12" s="33" t="str">
        <f aca="false">IF('Master Plan'!K17="","",'Master Plan'!K17)</f>
        <v>Blocked</v>
      </c>
      <c r="I12" s="33" t="str">
        <f aca="false">IF('Master Plan'!L17="","",'Master Plan'!L17)</f>
        <v>Blocked</v>
      </c>
      <c r="J12" s="34" t="str">
        <f aca="false">IF('Master Plan'!M17="","",'Master Plan'!M17)</f>
        <v>ASG Team to provide API access to Teamcenter</v>
      </c>
      <c r="K12" s="34" t="str">
        <f aca="false">IF('Master Plan'!P17="","",'Master Plan'!P17)</f>
        <v>Project Plan</v>
      </c>
    </row>
    <row r="13" customFormat="false" ht="15" hidden="false" customHeight="false" outlineLevel="0" collapsed="false">
      <c r="A13" s="33" t="str">
        <f aca="false">IF('Master Plan'!A18="","",'Master Plan'!A18)</f>
        <v>T-014</v>
      </c>
      <c r="B13" s="34" t="str">
        <f aca="false">IF('Master Plan'!C18="","",'Master Plan'!C18)</f>
        <v>List of Parts</v>
      </c>
      <c r="C13" s="34" t="str">
        <f aca="false">IF('Master Plan'!D18="","",'Master Plan'!D18)</f>
        <v>YAML to add List of Parts section in AR</v>
      </c>
      <c r="D13" s="34" t="str">
        <f aca="false">IF('Master Plan'!E18="","",'Master Plan'!E18)</f>
        <v>Unassigned</v>
      </c>
      <c r="E13" s="35" t="str">
        <f aca="false">IF('Master Plan'!F18="","",'Master Plan'!F18)</f>
        <v/>
      </c>
      <c r="F13" s="35" t="str">
        <f aca="false">IF('Master Plan'!G18="","",'Master Plan'!G18)</f>
        <v/>
      </c>
      <c r="G13" s="36" t="n">
        <f aca="false">IF('Master Plan'!I18="","",'Master Plan'!I18)</f>
        <v>0</v>
      </c>
      <c r="H13" s="33" t="str">
        <f aca="false">IF('Master Plan'!K18="","",'Master Plan'!K18)</f>
        <v>Blocked</v>
      </c>
      <c r="I13" s="33" t="str">
        <f aca="false">IF('Master Plan'!L18="","",'Master Plan'!L18)</f>
        <v>Blocked</v>
      </c>
      <c r="J13" s="34" t="str">
        <f aca="false">IF('Master Plan'!M18="","",'Master Plan'!M18)</f>
        <v>ASG Team to confirm if BOMSTR or Drawing PDF?</v>
      </c>
      <c r="K13" s="34" t="str">
        <f aca="false">IF('Master Plan'!P18="","",'Master Plan'!P18)</f>
        <v>Project Plan</v>
      </c>
    </row>
    <row r="14" customFormat="false" ht="23.85" hidden="false" customHeight="false" outlineLevel="0" collapsed="false">
      <c r="A14" s="33" t="str">
        <f aca="false">IF('Master Plan'!A19="","",'Master Plan'!A19)</f>
        <v>T-015</v>
      </c>
      <c r="B14" s="34" t="str">
        <f aca="false">IF('Master Plan'!C19="","",'Master Plan'!C19)</f>
        <v>Margin of Safety (MS) Summary</v>
      </c>
      <c r="C14" s="34" t="str">
        <f aca="false">IF('Master Plan'!D19="","",'Master Plan'!D19)</f>
        <v>Automation to extract Location ID</v>
      </c>
      <c r="D14" s="34" t="str">
        <f aca="false">IF('Master Plan'!E19="","",'Master Plan'!E19)</f>
        <v>Unassigned</v>
      </c>
      <c r="E14" s="35" t="str">
        <f aca="false">IF('Master Plan'!F19="","",'Master Plan'!F19)</f>
        <v/>
      </c>
      <c r="F14" s="35" t="str">
        <f aca="false">IF('Master Plan'!G19="","",'Master Plan'!G19)</f>
        <v/>
      </c>
      <c r="G14" s="36" t="n">
        <f aca="false">IF('Master Plan'!I19="","",'Master Plan'!I19)</f>
        <v>0</v>
      </c>
      <c r="H14" s="33" t="str">
        <f aca="false">IF('Master Plan'!K19="","",'Master Plan'!K19)</f>
        <v>Blocked</v>
      </c>
      <c r="I14" s="33" t="str">
        <f aca="false">IF('Master Plan'!L19="","",'Master Plan'!L19)</f>
        <v>Blocked</v>
      </c>
      <c r="J14" s="34" t="str">
        <f aca="false">IF('Master Plan'!M19="","",'Master Plan'!M19)</f>
        <v>ASG Team to provide Location ID for analysis (not feasible to extract from CATIA images)</v>
      </c>
      <c r="K14" s="34" t="str">
        <f aca="false">IF('Master Plan'!P19="","",'Master Plan'!P19)</f>
        <v>Project Plan</v>
      </c>
    </row>
    <row r="15" customFormat="false" ht="35.05" hidden="false" customHeight="false" outlineLevel="0" collapsed="false">
      <c r="A15" s="33" t="str">
        <f aca="false">IF('Master Plan'!A20="","",'Master Plan'!A20)</f>
        <v>T-016</v>
      </c>
      <c r="B15" s="34" t="str">
        <f aca="false">IF('Master Plan'!C20="","",'Master Plan'!C20)</f>
        <v>Margin of Safety (MS) Summary</v>
      </c>
      <c r="C15" s="34" t="str">
        <f aca="false">IF('Master Plan'!D20="","",'Master Plan'!D20)</f>
        <v>Automation to extract Part Number, Material, Temp, Applied Condition/Load ID, Applied Load/Stress, Allowable Load/Stress, Failure Mode, MS</v>
      </c>
      <c r="D15" s="34" t="str">
        <f aca="false">IF('Master Plan'!E20="","",'Master Plan'!E20)</f>
        <v>Unassigned</v>
      </c>
      <c r="E15" s="35" t="str">
        <f aca="false">IF('Master Plan'!F20="","",'Master Plan'!F20)</f>
        <v/>
      </c>
      <c r="F15" s="35" t="str">
        <f aca="false">IF('Master Plan'!G20="","",'Master Plan'!G20)</f>
        <v/>
      </c>
      <c r="G15" s="36" t="n">
        <f aca="false">IF('Master Plan'!I20="","",'Master Plan'!I20)</f>
        <v>0</v>
      </c>
      <c r="H15" s="33" t="str">
        <f aca="false">IF('Master Plan'!K20="","",'Master Plan'!K20)</f>
        <v>Blocked</v>
      </c>
      <c r="I15" s="33" t="str">
        <f aca="false">IF('Master Plan'!L20="","",'Master Plan'!L20)</f>
        <v>Blocked</v>
      </c>
      <c r="J15" s="34" t="str">
        <f aca="false">IF('Master Plan'!M20="","",'Master Plan'!M20)</f>
        <v>ASG Team to output Part Number, Material, Temp, Load ID, Applied/Allowable Load-Stress, Failure Mode, MS in Excel (confirmed in 5/10/26 meeting)</v>
      </c>
      <c r="K15" s="34" t="str">
        <f aca="false">IF('Master Plan'!P20="","",'Master Plan'!P20)</f>
        <v>Project Plan</v>
      </c>
    </row>
    <row r="16" customFormat="false" ht="35.05" hidden="false" customHeight="false" outlineLevel="0" collapsed="false">
      <c r="A16" s="33" t="str">
        <f aca="false">IF('Master Plan'!A21="","",'Master Plan'!A21)</f>
        <v>T-017</v>
      </c>
      <c r="B16" s="34" t="str">
        <f aca="false">IF('Master Plan'!C21="","",'Master Plan'!C21)</f>
        <v>Margin of Safety (MS) Summary</v>
      </c>
      <c r="C16" s="34" t="str">
        <f aca="false">IF('Master Plan'!D21="","",'Master Plan'!D21)</f>
        <v>Automation to create MOS summary table</v>
      </c>
      <c r="D16" s="34" t="str">
        <f aca="false">IF('Master Plan'!E21="","",'Master Plan'!E21)</f>
        <v>Unassigned</v>
      </c>
      <c r="E16" s="35" t="str">
        <f aca="false">IF('Master Plan'!F21="","",'Master Plan'!F21)</f>
        <v/>
      </c>
      <c r="F16" s="35" t="str">
        <f aca="false">IF('Master Plan'!G21="","",'Master Plan'!G21)</f>
        <v/>
      </c>
      <c r="G16" s="36" t="n">
        <f aca="false">IF('Master Plan'!I21="","",'Master Plan'!I21)</f>
        <v>0</v>
      </c>
      <c r="H16" s="33" t="str">
        <f aca="false">IF('Master Plan'!K21="","",'Master Plan'!K21)</f>
        <v>Blocked</v>
      </c>
      <c r="I16" s="33" t="str">
        <f aca="false">IF('Master Plan'!L21="","",'Master Plan'!L21)</f>
        <v>Blocked</v>
      </c>
      <c r="J16" s="34" t="str">
        <f aca="false">IF('Master Plan'!M21="","",'Master Plan'!M21)</f>
        <v>ASG Team to output Part Number, Material, Temp, Load ID, Applied/Allowable Load-Stress, Failure Mode, MS in Excel (confirmed in 5/10/26 meeting)</v>
      </c>
      <c r="K16" s="34" t="str">
        <f aca="false">IF('Master Plan'!P21="","",'Master Plan'!P21)</f>
        <v>Project Plan</v>
      </c>
    </row>
    <row r="17" customFormat="false" ht="35.05" hidden="false" customHeight="false" outlineLevel="0" collapsed="false">
      <c r="A17" s="33" t="str">
        <f aca="false">IF('Master Plan'!A22="","",'Master Plan'!A22)</f>
        <v>T-018</v>
      </c>
      <c r="B17" s="34" t="str">
        <f aca="false">IF('Master Plan'!C22="","",'Master Plan'!C22)</f>
        <v>Margin of Safety (MS) Summary</v>
      </c>
      <c r="C17" s="34" t="str">
        <f aca="false">IF('Master Plan'!D22="","",'Master Plan'!D22)</f>
        <v>YAML to add MOS Summary section in AR</v>
      </c>
      <c r="D17" s="34" t="str">
        <f aca="false">IF('Master Plan'!E22="","",'Master Plan'!E22)</f>
        <v>Unassigned</v>
      </c>
      <c r="E17" s="35" t="str">
        <f aca="false">IF('Master Plan'!F22="","",'Master Plan'!F22)</f>
        <v/>
      </c>
      <c r="F17" s="35" t="str">
        <f aca="false">IF('Master Plan'!G22="","",'Master Plan'!G22)</f>
        <v/>
      </c>
      <c r="G17" s="36" t="n">
        <f aca="false">IF('Master Plan'!I22="","",'Master Plan'!I22)</f>
        <v>0</v>
      </c>
      <c r="H17" s="33" t="str">
        <f aca="false">IF('Master Plan'!K22="","",'Master Plan'!K22)</f>
        <v>Blocked</v>
      </c>
      <c r="I17" s="33" t="str">
        <f aca="false">IF('Master Plan'!L22="","",'Master Plan'!L22)</f>
        <v>Blocked</v>
      </c>
      <c r="J17" s="34" t="str">
        <f aca="false">IF('Master Plan'!M22="","",'Master Plan'!M22)</f>
        <v>ASG Team to output Part Number, Material, Temp, Load ID, Applied/Allowable Load-Stress, Failure Mode, MS in Excel (confirmed in 5/10/26 meeting)</v>
      </c>
      <c r="K17" s="34" t="str">
        <f aca="false">IF('Master Plan'!P22="","",'Master Plan'!P22)</f>
        <v>Project Plan</v>
      </c>
    </row>
    <row r="18" customFormat="false" ht="15" hidden="false" customHeight="false" outlineLevel="0" collapsed="false">
      <c r="A18" s="33" t="str">
        <f aca="false">IF('Master Plan'!A23="","",'Master Plan'!A23)</f>
        <v>T-019</v>
      </c>
      <c r="B18" s="34" t="str">
        <f aca="false">IF('Master Plan'!C23="","",'Master Plan'!C23)</f>
        <v>Component Description</v>
      </c>
      <c r="C18" s="34" t="str">
        <f aca="false">IF('Master Plan'!D23="","",'Master Plan'!D23)</f>
        <v>Automation to merge UI and RAG data</v>
      </c>
      <c r="D18" s="34" t="str">
        <f aca="false">IF('Master Plan'!E23="","",'Master Plan'!E23)</f>
        <v>Abhik</v>
      </c>
      <c r="E18" s="35" t="n">
        <f aca="false">IF('Master Plan'!F23="","",'Master Plan'!F23)</f>
        <v>46304</v>
      </c>
      <c r="F18" s="35" t="n">
        <f aca="false">IF('Master Plan'!G23="","",'Master Plan'!G23)</f>
        <v>46318</v>
      </c>
      <c r="G18" s="36" t="n">
        <f aca="false">IF('Master Plan'!I23="","",'Master Plan'!I23)</f>
        <v>0</v>
      </c>
      <c r="H18" s="33" t="str">
        <f aca="false">IF('Master Plan'!K23="","",'Master Plan'!K23)</f>
        <v>Not Started</v>
      </c>
      <c r="I18" s="33" t="str">
        <f aca="false">IF('Master Plan'!L23="","",'Master Plan'!L23)</f>
        <v>On track</v>
      </c>
      <c r="J18" s="34" t="str">
        <f aca="false">IF('Master Plan'!M23="","",'Master Plan'!M23)</f>
        <v/>
      </c>
      <c r="K18" s="34" t="str">
        <f aca="false">IF('Master Plan'!P23="","",'Master Plan'!P23)</f>
        <v>Project Plan</v>
      </c>
    </row>
    <row r="19" customFormat="false" ht="15" hidden="false" customHeight="false" outlineLevel="0" collapsed="false">
      <c r="A19" s="33" t="str">
        <f aca="false">IF('Master Plan'!A24="","",'Master Plan'!A24)</f>
        <v>T-020</v>
      </c>
      <c r="B19" s="34" t="str">
        <f aca="false">IF('Master Plan'!C24="","",'Master Plan'!C24)</f>
        <v>Component Description</v>
      </c>
      <c r="C19" s="34" t="str">
        <f aca="false">IF('Master Plan'!D24="","",'Master Plan'!D24)</f>
        <v>Add images to Component Description</v>
      </c>
      <c r="D19" s="34" t="str">
        <f aca="false">IF('Master Plan'!E24="","",'Master Plan'!E24)</f>
        <v>Unassigned</v>
      </c>
      <c r="E19" s="35" t="str">
        <f aca="false">IF('Master Plan'!F24="","",'Master Plan'!F24)</f>
        <v/>
      </c>
      <c r="F19" s="35" t="str">
        <f aca="false">IF('Master Plan'!G24="","",'Master Plan'!G24)</f>
        <v/>
      </c>
      <c r="G19" s="36" t="n">
        <f aca="false">IF('Master Plan'!I24="","",'Master Plan'!I24)</f>
        <v>0</v>
      </c>
      <c r="H19" s="33" t="str">
        <f aca="false">IF('Master Plan'!K24="","",'Master Plan'!K24)</f>
        <v>Blocked</v>
      </c>
      <c r="I19" s="33" t="str">
        <f aca="false">IF('Master Plan'!L24="","",'Master Plan'!L24)</f>
        <v>Blocked</v>
      </c>
      <c r="J19" s="34" t="str">
        <f aca="false">IF('Master Plan'!M24="","",'Master Plan'!M24)</f>
        <v>ASG Team to provide Images</v>
      </c>
      <c r="K19" s="34" t="str">
        <f aca="false">IF('Master Plan'!P24="","",'Master Plan'!P24)</f>
        <v>Project Plan</v>
      </c>
    </row>
    <row r="20" customFormat="false" ht="15" hidden="false" customHeight="false" outlineLevel="0" collapsed="false">
      <c r="A20" s="33" t="str">
        <f aca="false">IF('Master Plan'!A25="","",'Master Plan'!A25)</f>
        <v>T-021</v>
      </c>
      <c r="B20" s="34" t="str">
        <f aca="false">IF('Master Plan'!C25="","",'Master Plan'!C25)</f>
        <v>Component Description</v>
      </c>
      <c r="C20" s="34" t="str">
        <f aca="false">IF('Master Plan'!D25="","",'Master Plan'!D25)</f>
        <v>YAML to add Component Description section</v>
      </c>
      <c r="D20" s="34" t="str">
        <f aca="false">IF('Master Plan'!E25="","",'Master Plan'!E25)</f>
        <v>Srujan</v>
      </c>
      <c r="E20" s="35" t="n">
        <f aca="false">IF('Master Plan'!F25="","",'Master Plan'!F25)</f>
        <v>46304</v>
      </c>
      <c r="F20" s="35" t="n">
        <f aca="false">IF('Master Plan'!G25="","",'Master Plan'!G25)</f>
        <v>46318</v>
      </c>
      <c r="G20" s="36" t="n">
        <f aca="false">IF('Master Plan'!I25="","",'Master Plan'!I25)</f>
        <v>0</v>
      </c>
      <c r="H20" s="33" t="str">
        <f aca="false">IF('Master Plan'!K25="","",'Master Plan'!K25)</f>
        <v>Not Started</v>
      </c>
      <c r="I20" s="33" t="str">
        <f aca="false">IF('Master Plan'!L25="","",'Master Plan'!L25)</f>
        <v>On track</v>
      </c>
      <c r="J20" s="34" t="str">
        <f aca="false">IF('Master Plan'!M25="","",'Master Plan'!M25)</f>
        <v/>
      </c>
      <c r="K20" s="34" t="str">
        <f aca="false">IF('Master Plan'!P25="","",'Master Plan'!P25)</f>
        <v>Project Plan</v>
      </c>
    </row>
    <row r="21" customFormat="false" ht="15" hidden="false" customHeight="false" outlineLevel="0" collapsed="false">
      <c r="A21" s="33" t="str">
        <f aca="false">IF('Master Plan'!A26="","",'Master Plan'!A26)</f>
        <v>T-022</v>
      </c>
      <c r="B21" s="34" t="str">
        <f aca="false">IF('Master Plan'!C26="","",'Master Plan'!C26)</f>
        <v>Loads Section</v>
      </c>
      <c r="C21" s="34" t="str">
        <f aca="false">IF('Master Plan'!D26="","",'Master Plan'!D26)</f>
        <v>Automation to get Loads information from One Stop Stress tool</v>
      </c>
      <c r="D21" s="34" t="str">
        <f aca="false">IF('Master Plan'!E26="","",'Master Plan'!E26)</f>
        <v>Unassigned</v>
      </c>
      <c r="E21" s="35" t="str">
        <f aca="false">IF('Master Plan'!F26="","",'Master Plan'!F26)</f>
        <v/>
      </c>
      <c r="F21" s="35" t="str">
        <f aca="false">IF('Master Plan'!G26="","",'Master Plan'!G26)</f>
        <v/>
      </c>
      <c r="G21" s="36" t="n">
        <f aca="false">IF('Master Plan'!I26="","",'Master Plan'!I26)</f>
        <v>0</v>
      </c>
      <c r="H21" s="33" t="str">
        <f aca="false">IF('Master Plan'!K26="","",'Master Plan'!K26)</f>
        <v>Blocked</v>
      </c>
      <c r="I21" s="33" t="str">
        <f aca="false">IF('Master Plan'!L26="","",'Master Plan'!L26)</f>
        <v>Blocked</v>
      </c>
      <c r="J21" s="34" t="str">
        <f aca="false">IF('Master Plan'!M26="","",'Master Plan'!M26)</f>
        <v>ASG Team One Stop Stress tool not ready yet for Loads</v>
      </c>
      <c r="K21" s="34" t="str">
        <f aca="false">IF('Master Plan'!P26="","",'Master Plan'!P26)</f>
        <v>Project Plan</v>
      </c>
    </row>
    <row r="22" customFormat="false" ht="15" hidden="false" customHeight="false" outlineLevel="0" collapsed="false">
      <c r="A22" s="33" t="str">
        <f aca="false">IF('Master Plan'!A27="","",'Master Plan'!A27)</f>
        <v>T-023</v>
      </c>
      <c r="B22" s="34" t="str">
        <f aca="false">IF('Master Plan'!C27="","",'Master Plan'!C27)</f>
        <v>Loads Section</v>
      </c>
      <c r="C22" s="34" t="str">
        <f aca="false">IF('Master Plan'!D27="","",'Master Plan'!D27)</f>
        <v>YAML to add Loads section in AR</v>
      </c>
      <c r="D22" s="34" t="str">
        <f aca="false">IF('Master Plan'!E27="","",'Master Plan'!E27)</f>
        <v>Unassigned</v>
      </c>
      <c r="E22" s="35" t="str">
        <f aca="false">IF('Master Plan'!F27="","",'Master Plan'!F27)</f>
        <v/>
      </c>
      <c r="F22" s="35" t="str">
        <f aca="false">IF('Master Plan'!G27="","",'Master Plan'!G27)</f>
        <v/>
      </c>
      <c r="G22" s="36" t="n">
        <f aca="false">IF('Master Plan'!I27="","",'Master Plan'!I27)</f>
        <v>0</v>
      </c>
      <c r="H22" s="33" t="str">
        <f aca="false">IF('Master Plan'!K27="","",'Master Plan'!K27)</f>
        <v>Blocked</v>
      </c>
      <c r="I22" s="33" t="str">
        <f aca="false">IF('Master Plan'!L27="","",'Master Plan'!L27)</f>
        <v>Blocked</v>
      </c>
      <c r="J22" s="34" t="str">
        <f aca="false">IF('Master Plan'!M27="","",'Master Plan'!M27)</f>
        <v>ASG Team One Stop Stress tool not ready yet for Loads</v>
      </c>
      <c r="K22" s="34" t="str">
        <f aca="false">IF('Master Plan'!P27="","",'Master Plan'!P27)</f>
        <v>Project Plan</v>
      </c>
    </row>
    <row r="23" customFormat="false" ht="15" hidden="false" customHeight="false" outlineLevel="0" collapsed="false">
      <c r="A23" s="33" t="str">
        <f aca="false">IF('Master Plan'!A28="","",'Master Plan'!A28)</f>
        <v>T-024</v>
      </c>
      <c r="B23" s="34" t="str">
        <f aca="false">IF('Master Plan'!C28="","",'Master Plan'!C28)</f>
        <v>Loads Section</v>
      </c>
      <c r="C23" s="34" t="str">
        <f aca="false">IF('Master Plan'!D28="","",'Master Plan'!D28)</f>
        <v>Add images to Loads section</v>
      </c>
      <c r="D23" s="34" t="str">
        <f aca="false">IF('Master Plan'!E28="","",'Master Plan'!E28)</f>
        <v>Unassigned</v>
      </c>
      <c r="E23" s="35" t="str">
        <f aca="false">IF('Master Plan'!F28="","",'Master Plan'!F28)</f>
        <v/>
      </c>
      <c r="F23" s="35" t="str">
        <f aca="false">IF('Master Plan'!G28="","",'Master Plan'!G28)</f>
        <v/>
      </c>
      <c r="G23" s="36" t="n">
        <f aca="false">IF('Master Plan'!I28="","",'Master Plan'!I28)</f>
        <v>0</v>
      </c>
      <c r="H23" s="33" t="str">
        <f aca="false">IF('Master Plan'!K28="","",'Master Plan'!K28)</f>
        <v>Blocked</v>
      </c>
      <c r="I23" s="33" t="str">
        <f aca="false">IF('Master Plan'!L28="","",'Master Plan'!L28)</f>
        <v>Blocked</v>
      </c>
      <c r="J23" s="34" t="str">
        <f aca="false">IF('Master Plan'!M28="","",'Master Plan'!M28)</f>
        <v>ASG Team to provide Images</v>
      </c>
      <c r="K23" s="34" t="str">
        <f aca="false">IF('Master Plan'!P28="","",'Master Plan'!P28)</f>
        <v>Project Plan</v>
      </c>
    </row>
    <row r="24" customFormat="false" ht="23.85" hidden="false" customHeight="false" outlineLevel="0" collapsed="false">
      <c r="A24" s="33" t="str">
        <f aca="false">IF('Master Plan'!A29="","",'Master Plan'!A29)</f>
        <v>T-025</v>
      </c>
      <c r="B24" s="34" t="str">
        <f aca="false">IF('Master Plan'!C29="","",'Master Plan'!C29)</f>
        <v>Static Analysis Section</v>
      </c>
      <c r="C24" s="34" t="str">
        <f aca="false">IF('Master Plan'!D29="","",'Master Plan'!D29)</f>
        <v>Automation to get Static Analysis from One Stop Stress tool</v>
      </c>
      <c r="D24" s="34" t="str">
        <f aca="false">IF('Master Plan'!E29="","",'Master Plan'!E29)</f>
        <v>Unassigned</v>
      </c>
      <c r="E24" s="35" t="str">
        <f aca="false">IF('Master Plan'!F29="","",'Master Plan'!F29)</f>
        <v/>
      </c>
      <c r="F24" s="35" t="str">
        <f aca="false">IF('Master Plan'!G29="","",'Master Plan'!G29)</f>
        <v/>
      </c>
      <c r="G24" s="36" t="n">
        <f aca="false">IF('Master Plan'!I29="","",'Master Plan'!I29)</f>
        <v>0</v>
      </c>
      <c r="H24" s="33" t="str">
        <f aca="false">IF('Master Plan'!K29="","",'Master Plan'!K29)</f>
        <v>Blocked</v>
      </c>
      <c r="I24" s="33" t="str">
        <f aca="false">IF('Master Plan'!L29="","",'Master Plan'!L29)</f>
        <v>Blocked</v>
      </c>
      <c r="J24" s="34" t="str">
        <f aca="false">IF('Master Plan'!M29="","",'Master Plan'!M29)</f>
        <v>ASG Team One Stop Stress tool not ready yet for Static Analysis</v>
      </c>
      <c r="K24" s="34" t="str">
        <f aca="false">IF('Master Plan'!P29="","",'Master Plan'!P29)</f>
        <v>Project Plan</v>
      </c>
    </row>
    <row r="25" customFormat="false" ht="23.85" hidden="false" customHeight="false" outlineLevel="0" collapsed="false">
      <c r="A25" s="33" t="str">
        <f aca="false">IF('Master Plan'!A30="","",'Master Plan'!A30)</f>
        <v>T-026</v>
      </c>
      <c r="B25" s="34" t="str">
        <f aca="false">IF('Master Plan'!C30="","",'Master Plan'!C30)</f>
        <v>Static Analysis Section</v>
      </c>
      <c r="C25" s="34" t="str">
        <f aca="false">IF('Master Plan'!D30="","",'Master Plan'!D30)</f>
        <v>YAML to add Static Analysis section in AR</v>
      </c>
      <c r="D25" s="34" t="str">
        <f aca="false">IF('Master Plan'!E30="","",'Master Plan'!E30)</f>
        <v>Unassigned</v>
      </c>
      <c r="E25" s="35" t="str">
        <f aca="false">IF('Master Plan'!F30="","",'Master Plan'!F30)</f>
        <v/>
      </c>
      <c r="F25" s="35" t="str">
        <f aca="false">IF('Master Plan'!G30="","",'Master Plan'!G30)</f>
        <v/>
      </c>
      <c r="G25" s="36" t="n">
        <f aca="false">IF('Master Plan'!I30="","",'Master Plan'!I30)</f>
        <v>0</v>
      </c>
      <c r="H25" s="33" t="str">
        <f aca="false">IF('Master Plan'!K30="","",'Master Plan'!K30)</f>
        <v>Blocked</v>
      </c>
      <c r="I25" s="33" t="str">
        <f aca="false">IF('Master Plan'!L30="","",'Master Plan'!L30)</f>
        <v>Blocked</v>
      </c>
      <c r="J25" s="34" t="str">
        <f aca="false">IF('Master Plan'!M30="","",'Master Plan'!M30)</f>
        <v>ASG Team One Stop Stress tool not ready yet for Static Analysis</v>
      </c>
      <c r="K25" s="34" t="str">
        <f aca="false">IF('Master Plan'!P30="","",'Master Plan'!P30)</f>
        <v>Project Plan</v>
      </c>
    </row>
    <row r="26" customFormat="false" ht="15" hidden="false" customHeight="false" outlineLevel="0" collapsed="false">
      <c r="A26" s="33" t="str">
        <f aca="false">IF('Master Plan'!A31="","",'Master Plan'!A31)</f>
        <v>T-027</v>
      </c>
      <c r="B26" s="34" t="str">
        <f aca="false">IF('Master Plan'!C31="","",'Master Plan'!C31)</f>
        <v>Static Analysis Section</v>
      </c>
      <c r="C26" s="34" t="str">
        <f aca="false">IF('Master Plan'!D31="","",'Master Plan'!D31)</f>
        <v>Add images to Static Analysis section</v>
      </c>
      <c r="D26" s="34" t="str">
        <f aca="false">IF('Master Plan'!E31="","",'Master Plan'!E31)</f>
        <v>Unassigned</v>
      </c>
      <c r="E26" s="35" t="str">
        <f aca="false">IF('Master Plan'!F31="","",'Master Plan'!F31)</f>
        <v/>
      </c>
      <c r="F26" s="35" t="str">
        <f aca="false">IF('Master Plan'!G31="","",'Master Plan'!G31)</f>
        <v/>
      </c>
      <c r="G26" s="36" t="n">
        <f aca="false">IF('Master Plan'!I31="","",'Master Plan'!I31)</f>
        <v>0</v>
      </c>
      <c r="H26" s="33" t="str">
        <f aca="false">IF('Master Plan'!K31="","",'Master Plan'!K31)</f>
        <v>Blocked</v>
      </c>
      <c r="I26" s="33" t="str">
        <f aca="false">IF('Master Plan'!L31="","",'Master Plan'!L31)</f>
        <v>Blocked</v>
      </c>
      <c r="J26" s="34" t="str">
        <f aca="false">IF('Master Plan'!M31="","",'Master Plan'!M31)</f>
        <v>ASG Team to provide Images</v>
      </c>
      <c r="K26" s="34" t="str">
        <f aca="false">IF('Master Plan'!P31="","",'Master Plan'!P31)</f>
        <v>Project Plan</v>
      </c>
    </row>
    <row r="27" customFormat="false" ht="15" hidden="false" customHeight="false" outlineLevel="0" collapsed="false">
      <c r="A27" s="33" t="str">
        <f aca="false">IF('Master Plan'!A32="","",'Master Plan'!A32)</f>
        <v>T-028</v>
      </c>
      <c r="B27" s="34" t="str">
        <f aca="false">IF('Master Plan'!C32="","",'Master Plan'!C32)</f>
        <v>Materials (Metallic) Section</v>
      </c>
      <c r="C27" s="34" t="str">
        <f aca="false">IF('Master Plan'!D32="","",'Master Plan'!D32)</f>
        <v>Automation to extract List of Parts from BOMSTR</v>
      </c>
      <c r="D27" s="34" t="str">
        <f aca="false">IF('Master Plan'!E32="","",'Master Plan'!E32)</f>
        <v>Unassigned</v>
      </c>
      <c r="E27" s="35" t="str">
        <f aca="false">IF('Master Plan'!F32="","",'Master Plan'!F32)</f>
        <v/>
      </c>
      <c r="F27" s="35" t="str">
        <f aca="false">IF('Master Plan'!G32="","",'Master Plan'!G32)</f>
        <v/>
      </c>
      <c r="G27" s="36" t="n">
        <f aca="false">IF('Master Plan'!I32="","",'Master Plan'!I32)</f>
        <v>0</v>
      </c>
      <c r="H27" s="33" t="str">
        <f aca="false">IF('Master Plan'!K32="","",'Master Plan'!K32)</f>
        <v>Blocked</v>
      </c>
      <c r="I27" s="33" t="str">
        <f aca="false">IF('Master Plan'!L32="","",'Master Plan'!L32)</f>
        <v>Blocked</v>
      </c>
      <c r="J27" s="34" t="str">
        <f aca="false">IF('Master Plan'!M32="","",'Master Plan'!M32)</f>
        <v>ASG Team to confirm if BOMSTR or Drawing PDF?</v>
      </c>
      <c r="K27" s="34" t="str">
        <f aca="false">IF('Master Plan'!P32="","",'Master Plan'!P32)</f>
        <v>Project Plan</v>
      </c>
    </row>
    <row r="28" customFormat="false" ht="15" hidden="false" customHeight="false" outlineLevel="0" collapsed="false">
      <c r="A28" s="33" t="str">
        <f aca="false">IF('Master Plan'!A33="","",'Master Plan'!A33)</f>
        <v>T-029</v>
      </c>
      <c r="B28" s="34" t="str">
        <f aca="false">IF('Master Plan'!C33="","",'Master Plan'!C33)</f>
        <v>Materials (Metallic) Section</v>
      </c>
      <c r="C28" s="34" t="str">
        <f aca="false">IF('Master Plan'!D33="","",'Master Plan'!D33)</f>
        <v>Automation/OCR to extract List of Parts from Drawing documents</v>
      </c>
      <c r="D28" s="34" t="str">
        <f aca="false">IF('Master Plan'!E33="","",'Master Plan'!E33)</f>
        <v>Unassigned</v>
      </c>
      <c r="E28" s="35" t="str">
        <f aca="false">IF('Master Plan'!F33="","",'Master Plan'!F33)</f>
        <v/>
      </c>
      <c r="F28" s="35" t="str">
        <f aca="false">IF('Master Plan'!G33="","",'Master Plan'!G33)</f>
        <v/>
      </c>
      <c r="G28" s="36" t="n">
        <f aca="false">IF('Master Plan'!I33="","",'Master Plan'!I33)</f>
        <v>0</v>
      </c>
      <c r="H28" s="33" t="str">
        <f aca="false">IF('Master Plan'!K33="","",'Master Plan'!K33)</f>
        <v>Blocked</v>
      </c>
      <c r="I28" s="33" t="str">
        <f aca="false">IF('Master Plan'!L33="","",'Master Plan'!L33)</f>
        <v>Blocked</v>
      </c>
      <c r="J28" s="34" t="str">
        <f aca="false">IF('Master Plan'!M33="","",'Master Plan'!M33)</f>
        <v>ASG Team to confirm if BOMSTR or Drawing PDF?</v>
      </c>
      <c r="K28" s="34" t="str">
        <f aca="false">IF('Master Plan'!P33="","",'Master Plan'!P33)</f>
        <v>Project Plan</v>
      </c>
    </row>
    <row r="29" customFormat="false" ht="15" hidden="false" customHeight="false" outlineLevel="0" collapsed="false">
      <c r="A29" s="33" t="str">
        <f aca="false">IF('Master Plan'!A34="","",'Master Plan'!A34)</f>
        <v>T-030</v>
      </c>
      <c r="B29" s="34" t="str">
        <f aca="false">IF('Master Plan'!C34="","",'Master Plan'!C34)</f>
        <v>Materials (Metallic) Section</v>
      </c>
      <c r="C29" s="34" t="str">
        <f aca="false">IF('Master Plan'!D34="","",'Master Plan'!D34)</f>
        <v>Automation to download PDF from Teamcenter</v>
      </c>
      <c r="D29" s="34" t="str">
        <f aca="false">IF('Master Plan'!E34="","",'Master Plan'!E34)</f>
        <v>Unassigned</v>
      </c>
      <c r="E29" s="35" t="str">
        <f aca="false">IF('Master Plan'!F34="","",'Master Plan'!F34)</f>
        <v/>
      </c>
      <c r="F29" s="35" t="str">
        <f aca="false">IF('Master Plan'!G34="","",'Master Plan'!G34)</f>
        <v/>
      </c>
      <c r="G29" s="36" t="n">
        <f aca="false">IF('Master Plan'!I34="","",'Master Plan'!I34)</f>
        <v>0</v>
      </c>
      <c r="H29" s="33" t="str">
        <f aca="false">IF('Master Plan'!K34="","",'Master Plan'!K34)</f>
        <v>Blocked</v>
      </c>
      <c r="I29" s="33" t="str">
        <f aca="false">IF('Master Plan'!L34="","",'Master Plan'!L34)</f>
        <v>Blocked</v>
      </c>
      <c r="J29" s="34" t="str">
        <f aca="false">IF('Master Plan'!M34="","",'Master Plan'!M34)</f>
        <v>ASG Team to provide API access to Teamcenter</v>
      </c>
      <c r="K29" s="34" t="str">
        <f aca="false">IF('Master Plan'!P34="","",'Master Plan'!P34)</f>
        <v>Project Plan</v>
      </c>
    </row>
    <row r="30" customFormat="false" ht="15" hidden="false" customHeight="false" outlineLevel="0" collapsed="false">
      <c r="A30" s="33" t="str">
        <f aca="false">IF('Master Plan'!A35="","",'Master Plan'!A35)</f>
        <v>T-031</v>
      </c>
      <c r="B30" s="34" t="str">
        <f aca="false">IF('Master Plan'!C35="","",'Master Plan'!C35)</f>
        <v>Materials (Metallic) Section</v>
      </c>
      <c r="C30" s="34" t="str">
        <f aca="false">IF('Master Plan'!D35="","",'Master Plan'!D35)</f>
        <v>Add images to Materials section</v>
      </c>
      <c r="D30" s="34" t="str">
        <f aca="false">IF('Master Plan'!E35="","",'Master Plan'!E35)</f>
        <v>Unassigned</v>
      </c>
      <c r="E30" s="35" t="str">
        <f aca="false">IF('Master Plan'!F35="","",'Master Plan'!F35)</f>
        <v/>
      </c>
      <c r="F30" s="35" t="str">
        <f aca="false">IF('Master Plan'!G35="","",'Master Plan'!G35)</f>
        <v/>
      </c>
      <c r="G30" s="36" t="n">
        <f aca="false">IF('Master Plan'!I35="","",'Master Plan'!I35)</f>
        <v>0</v>
      </c>
      <c r="H30" s="33" t="str">
        <f aca="false">IF('Master Plan'!K35="","",'Master Plan'!K35)</f>
        <v>Blocked</v>
      </c>
      <c r="I30" s="33" t="str">
        <f aca="false">IF('Master Plan'!L35="","",'Master Plan'!L35)</f>
        <v>Blocked</v>
      </c>
      <c r="J30" s="34" t="str">
        <f aca="false">IF('Master Plan'!M35="","",'Master Plan'!M35)</f>
        <v>ASG Team to provide Images</v>
      </c>
      <c r="K30" s="34" t="str">
        <f aca="false">IF('Master Plan'!P35="","",'Master Plan'!P35)</f>
        <v>Project Plan</v>
      </c>
    </row>
    <row r="31" customFormat="false" ht="15" hidden="false" customHeight="false" outlineLevel="0" collapsed="false">
      <c r="A31" s="33" t="str">
        <f aca="false">IF('Master Plan'!A36="","",'Master Plan'!A36)</f>
        <v>T-032</v>
      </c>
      <c r="B31" s="34" t="str">
        <f aca="false">IF('Master Plan'!C36="","",'Master Plan'!C36)</f>
        <v>Materials (Metallic) Section</v>
      </c>
      <c r="C31" s="34" t="str">
        <f aca="false">IF('Master Plan'!D36="","",'Master Plan'!D36)</f>
        <v>YAML to add Materials section in AR</v>
      </c>
      <c r="D31" s="34" t="str">
        <f aca="false">IF('Master Plan'!E36="","",'Master Plan'!E36)</f>
        <v>Unassigned</v>
      </c>
      <c r="E31" s="35" t="str">
        <f aca="false">IF('Master Plan'!F36="","",'Master Plan'!F36)</f>
        <v/>
      </c>
      <c r="F31" s="35" t="str">
        <f aca="false">IF('Master Plan'!G36="","",'Master Plan'!G36)</f>
        <v/>
      </c>
      <c r="G31" s="36" t="n">
        <f aca="false">IF('Master Plan'!I36="","",'Master Plan'!I36)</f>
        <v>0</v>
      </c>
      <c r="H31" s="33" t="str">
        <f aca="false">IF('Master Plan'!K36="","",'Master Plan'!K36)</f>
        <v>Blocked</v>
      </c>
      <c r="I31" s="33" t="str">
        <f aca="false">IF('Master Plan'!L36="","",'Master Plan'!L36)</f>
        <v>Blocked</v>
      </c>
      <c r="J31" s="34" t="str">
        <f aca="false">IF('Master Plan'!M36="","",'Master Plan'!M36)</f>
        <v>ASG Team to confirm if BOMSTR or Drawing PDF?</v>
      </c>
      <c r="K31" s="34" t="str">
        <f aca="false">IF('Master Plan'!P36="","",'Master Plan'!P36)</f>
        <v>Project Plan</v>
      </c>
    </row>
    <row r="32" customFormat="false" ht="15" hidden="false" customHeight="false" outlineLevel="0" collapsed="false">
      <c r="A32" s="33" t="str">
        <f aca="false">IF('Master Plan'!A37="","",'Master Plan'!A37)</f>
        <v>T-033</v>
      </c>
      <c r="B32" s="34" t="str">
        <f aca="false">IF('Master Plan'!C37="","",'Master Plan'!C37)</f>
        <v>References Section</v>
      </c>
      <c r="C32" s="34" t="str">
        <f aca="false">IF('Master Plan'!D37="","",'Master Plan'!D37)</f>
        <v>Automation for generating Reference section from previous ARs</v>
      </c>
      <c r="D32" s="34" t="str">
        <f aca="false">IF('Master Plan'!E37="","",'Master Plan'!E37)</f>
        <v>Unassigned</v>
      </c>
      <c r="E32" s="35" t="str">
        <f aca="false">IF('Master Plan'!F37="","",'Master Plan'!F37)</f>
        <v/>
      </c>
      <c r="F32" s="35" t="str">
        <f aca="false">IF('Master Plan'!G37="","",'Master Plan'!G37)</f>
        <v/>
      </c>
      <c r="G32" s="36" t="n">
        <f aca="false">IF('Master Plan'!I37="","",'Master Plan'!I37)</f>
        <v>0</v>
      </c>
      <c r="H32" s="33" t="str">
        <f aca="false">IF('Master Plan'!K37="","",'Master Plan'!K37)</f>
        <v>Blocked</v>
      </c>
      <c r="I32" s="33" t="str">
        <f aca="false">IF('Master Plan'!L37="","",'Master Plan'!L37)</f>
        <v>Blocked</v>
      </c>
      <c r="J32" s="34" t="str">
        <f aca="false">IF('Master Plan'!M37="","",'Master Plan'!M37)</f>
        <v>ASG Team to provide list of ESOMS to component Mapping</v>
      </c>
      <c r="K32" s="34" t="str">
        <f aca="false">IF('Master Plan'!P37="","",'Master Plan'!P37)</f>
        <v>Project Plan</v>
      </c>
    </row>
    <row r="33" customFormat="false" ht="15" hidden="false" customHeight="false" outlineLevel="0" collapsed="false">
      <c r="A33" s="33" t="str">
        <f aca="false">IF('Master Plan'!A38="","",'Master Plan'!A38)</f>
        <v>T-034</v>
      </c>
      <c r="B33" s="34" t="str">
        <f aca="false">IF('Master Plan'!C38="","",'Master Plan'!C38)</f>
        <v>References Section</v>
      </c>
      <c r="C33" s="34" t="str">
        <f aca="false">IF('Master Plan'!D38="","",'Master Plan'!D38)</f>
        <v>YAML to add Reference section in AR</v>
      </c>
      <c r="D33" s="34" t="str">
        <f aca="false">IF('Master Plan'!E38="","",'Master Plan'!E38)</f>
        <v>Unassigned</v>
      </c>
      <c r="E33" s="35" t="str">
        <f aca="false">IF('Master Plan'!F38="","",'Master Plan'!F38)</f>
        <v/>
      </c>
      <c r="F33" s="35" t="str">
        <f aca="false">IF('Master Plan'!G38="","",'Master Plan'!G38)</f>
        <v/>
      </c>
      <c r="G33" s="36" t="n">
        <f aca="false">IF('Master Plan'!I38="","",'Master Plan'!I38)</f>
        <v>0</v>
      </c>
      <c r="H33" s="33" t="str">
        <f aca="false">IF('Master Plan'!K38="","",'Master Plan'!K38)</f>
        <v>Blocked</v>
      </c>
      <c r="I33" s="33" t="str">
        <f aca="false">IF('Master Plan'!L38="","",'Master Plan'!L38)</f>
        <v>Blocked</v>
      </c>
      <c r="J33" s="34" t="str">
        <f aca="false">IF('Master Plan'!M38="","",'Master Plan'!M38)</f>
        <v>ASG Team to provide list of ESOMS to component Mapping</v>
      </c>
      <c r="K33" s="34" t="str">
        <f aca="false">IF('Master Plan'!P38="","",'Master Plan'!P38)</f>
        <v>Project Plan</v>
      </c>
    </row>
    <row r="34" customFormat="false" ht="23.85" hidden="false" customHeight="false" outlineLevel="0" collapsed="false">
      <c r="A34" s="33" t="str">
        <f aca="false">IF('Master Plan'!A39="","",'Master Plan'!A39)</f>
        <v>T-035</v>
      </c>
      <c r="B34" s="34" t="str">
        <f aca="false">IF('Master Plan'!C39="","",'Master Plan'!C39)</f>
        <v>Fan Cowl AR - Release &amp; Testing</v>
      </c>
      <c r="C34" s="34" t="str">
        <f aca="false">IF('Master Plan'!D39="","",'Master Plan'!D39)</f>
        <v>Generate Report for Fan Cowl AR</v>
      </c>
      <c r="D34" s="34" t="str">
        <f aca="false">IF('Master Plan'!E39="","",'Master Plan'!E39)</f>
        <v>Srujan, Rajesh, Abhik</v>
      </c>
      <c r="E34" s="35" t="n">
        <f aca="false">IF('Master Plan'!F39="","",'Master Plan'!F39)</f>
        <v>46304</v>
      </c>
      <c r="F34" s="35" t="n">
        <f aca="false">IF('Master Plan'!G39="","",'Master Plan'!G39)</f>
        <v>46358</v>
      </c>
      <c r="G34" s="36" t="n">
        <f aca="false">IF('Master Plan'!I39="","",'Master Plan'!I39)</f>
        <v>1</v>
      </c>
      <c r="H34" s="33" t="str">
        <f aca="false">IF('Master Plan'!K39="","",'Master Plan'!K39)</f>
        <v>Complete</v>
      </c>
      <c r="I34" s="33" t="str">
        <f aca="false">IF('Master Plan'!L39="","",'Master Plan'!L39)</f>
        <v>Done</v>
      </c>
      <c r="J34" s="34" t="str">
        <f aca="false">IF('Master Plan'!M39="","",'Master Plan'!M39)</f>
        <v/>
      </c>
      <c r="K34" s="34" t="str">
        <f aca="false">IF('Master Plan'!P39="","",'Master Plan'!P39)</f>
        <v>Project Plan</v>
      </c>
    </row>
    <row r="35" customFormat="false" ht="15" hidden="false" customHeight="false" outlineLevel="0" collapsed="false">
      <c r="A35" s="33" t="str">
        <f aca="false">IF('Master Plan'!A40="","",'Master Plan'!A40)</f>
        <v>T-036</v>
      </c>
      <c r="B35" s="34" t="str">
        <f aca="false">IF('Master Plan'!C40="","",'Master Plan'!C40)</f>
        <v>Scope Section</v>
      </c>
      <c r="C35" s="34" t="str">
        <f aca="false">IF('Master Plan'!D40="","",'Master Plan'!D40)</f>
        <v>YAML to add Scope section in AR</v>
      </c>
      <c r="D35" s="34" t="str">
        <f aca="false">IF('Master Plan'!E40="","",'Master Plan'!E40)</f>
        <v>Unassigned</v>
      </c>
      <c r="E35" s="35" t="str">
        <f aca="false">IF('Master Plan'!F40="","",'Master Plan'!F40)</f>
        <v/>
      </c>
      <c r="F35" s="35" t="str">
        <f aca="false">IF('Master Plan'!G40="","",'Master Plan'!G40)</f>
        <v/>
      </c>
      <c r="G35" s="36" t="n">
        <f aca="false">IF('Master Plan'!I40="","",'Master Plan'!I40)</f>
        <v>0</v>
      </c>
      <c r="H35" s="33" t="str">
        <f aca="false">IF('Master Plan'!K40="","",'Master Plan'!K40)</f>
        <v>Not Started</v>
      </c>
      <c r="I35" s="33" t="str">
        <f aca="false">IF('Master Plan'!L40="","",'Master Plan'!L40)</f>
        <v>No dates</v>
      </c>
      <c r="J35" s="34" t="str">
        <f aca="false">IF('Master Plan'!M40="","",'Master Plan'!M40)</f>
        <v>UI to capture Program, Component, Loads</v>
      </c>
      <c r="K35" s="34" t="str">
        <f aca="false">IF('Master Plan'!P40="","",'Master Plan'!P40)</f>
        <v>Proposed</v>
      </c>
    </row>
    <row r="36" customFormat="false" ht="15" hidden="false" customHeight="false" outlineLevel="0" collapsed="false">
      <c r="A36" s="33" t="str">
        <f aca="false">IF('Master Plan'!A41="","",'Master Plan'!A41)</f>
        <v>T-037</v>
      </c>
      <c r="B36" s="34" t="str">
        <f aca="false">IF('Master Plan'!C41="","",'Master Plan'!C41)</f>
        <v>Analysis Checklist</v>
      </c>
      <c r="C36" s="34" t="str">
        <f aca="false">IF('Master Plan'!D41="","",'Master Plan'!D41)</f>
        <v>Automation to build Analysis Checklist from Failure Mode Matrix Excel</v>
      </c>
      <c r="D36" s="34" t="str">
        <f aca="false">IF('Master Plan'!E41="","",'Master Plan'!E41)</f>
        <v>Unassigned</v>
      </c>
      <c r="E36" s="35" t="str">
        <f aca="false">IF('Master Plan'!F41="","",'Master Plan'!F41)</f>
        <v/>
      </c>
      <c r="F36" s="35" t="str">
        <f aca="false">IF('Master Plan'!G41="","",'Master Plan'!G41)</f>
        <v/>
      </c>
      <c r="G36" s="36" t="n">
        <f aca="false">IF('Master Plan'!I41="","",'Master Plan'!I41)</f>
        <v>0</v>
      </c>
      <c r="H36" s="33" t="str">
        <f aca="false">IF('Master Plan'!K41="","",'Master Plan'!K41)</f>
        <v>Not Started</v>
      </c>
      <c r="I36" s="33" t="str">
        <f aca="false">IF('Master Plan'!L41="","",'Master Plan'!L41)</f>
        <v>No dates</v>
      </c>
      <c r="J36" s="34" t="str">
        <f aca="false">IF('Master Plan'!M41="","",'Master Plan'!M41)</f>
        <v/>
      </c>
      <c r="K36" s="34" t="str">
        <f aca="false">IF('Master Plan'!P41="","",'Master Plan'!P41)</f>
        <v>Proposed</v>
      </c>
    </row>
    <row r="37" customFormat="false" ht="15" hidden="false" customHeight="false" outlineLevel="0" collapsed="false">
      <c r="A37" s="33" t="str">
        <f aca="false">IF('Master Plan'!A42="","",'Master Plan'!A42)</f>
        <v>T-038</v>
      </c>
      <c r="B37" s="34" t="str">
        <f aca="false">IF('Master Plan'!C42="","",'Master Plan'!C42)</f>
        <v>Analysis Checklist</v>
      </c>
      <c r="C37" s="34" t="str">
        <f aca="false">IF('Master Plan'!D42="","",'Master Plan'!D42)</f>
        <v>YAML to add Analysis Checklist section in AR</v>
      </c>
      <c r="D37" s="34" t="str">
        <f aca="false">IF('Master Plan'!E42="","",'Master Plan'!E42)</f>
        <v>Unassigned</v>
      </c>
      <c r="E37" s="35" t="str">
        <f aca="false">IF('Master Plan'!F42="","",'Master Plan'!F42)</f>
        <v/>
      </c>
      <c r="F37" s="35" t="str">
        <f aca="false">IF('Master Plan'!G42="","",'Master Plan'!G42)</f>
        <v/>
      </c>
      <c r="G37" s="36" t="n">
        <f aca="false">IF('Master Plan'!I42="","",'Master Plan'!I42)</f>
        <v>0</v>
      </c>
      <c r="H37" s="33" t="str">
        <f aca="false">IF('Master Plan'!K42="","",'Master Plan'!K42)</f>
        <v>Not Started</v>
      </c>
      <c r="I37" s="33" t="str">
        <f aca="false">IF('Master Plan'!L42="","",'Master Plan'!L42)</f>
        <v>No dates</v>
      </c>
      <c r="J37" s="34" t="str">
        <f aca="false">IF('Master Plan'!M42="","",'Master Plan'!M42)</f>
        <v/>
      </c>
      <c r="K37" s="34" t="str">
        <f aca="false">IF('Master Plan'!P42="","",'Master Plan'!P42)</f>
        <v>Proposed</v>
      </c>
    </row>
    <row r="38" customFormat="false" ht="35.05" hidden="false" customHeight="false" outlineLevel="0" collapsed="false">
      <c r="A38" s="33" t="str">
        <f aca="false">IF('Master Plan'!A43="","",'Master Plan'!A43)</f>
        <v>T-039</v>
      </c>
      <c r="B38" s="34" t="str">
        <f aca="false">IF('Master Plan'!C43="","",'Master Plan'!C43)</f>
        <v>FEM Description</v>
      </c>
      <c r="C38" s="34" t="str">
        <f aca="false">IF('Master Plan'!D43="","",'Master Plan'!D43)</f>
        <v>Automation to parse BDF/DAT (component name, element/property/material type, material description, solver, solution type/description, total and excluded elements)</v>
      </c>
      <c r="D38" s="34" t="str">
        <f aca="false">IF('Master Plan'!E43="","",'Master Plan'!E43)</f>
        <v>Unassigned</v>
      </c>
      <c r="E38" s="35" t="str">
        <f aca="false">IF('Master Plan'!F43="","",'Master Plan'!F43)</f>
        <v/>
      </c>
      <c r="F38" s="35" t="str">
        <f aca="false">IF('Master Plan'!G43="","",'Master Plan'!G43)</f>
        <v/>
      </c>
      <c r="G38" s="36" t="n">
        <f aca="false">IF('Master Plan'!I43="","",'Master Plan'!I43)</f>
        <v>0</v>
      </c>
      <c r="H38" s="33" t="str">
        <f aca="false">IF('Master Plan'!K43="","",'Master Plan'!K43)</f>
        <v>Not Started</v>
      </c>
      <c r="I38" s="33" t="str">
        <f aca="false">IF('Master Plan'!L43="","",'Master Plan'!L43)</f>
        <v>No dates</v>
      </c>
      <c r="J38" s="34" t="str">
        <f aca="false">IF('Master Plan'!M43="","",'Master Plan'!M43)</f>
        <v/>
      </c>
      <c r="K38" s="34" t="str">
        <f aca="false">IF('Master Plan'!P43="","",'Master Plan'!P43)</f>
        <v>Proposed</v>
      </c>
    </row>
    <row r="39" customFormat="false" ht="15" hidden="false" customHeight="false" outlineLevel="0" collapsed="false">
      <c r="A39" s="33" t="str">
        <f aca="false">IF('Master Plan'!A44="","",'Master Plan'!A44)</f>
        <v>T-040</v>
      </c>
      <c r="B39" s="34" t="str">
        <f aca="false">IF('Master Plan'!C44="","",'Master Plan'!C44)</f>
        <v>FEM Description</v>
      </c>
      <c r="C39" s="34" t="str">
        <f aca="false">IF('Master Plan'!D44="","",'Master Plan'!D44)</f>
        <v>YAML to add FEM Description section in AR</v>
      </c>
      <c r="D39" s="34" t="str">
        <f aca="false">IF('Master Plan'!E44="","",'Master Plan'!E44)</f>
        <v>Unassigned</v>
      </c>
      <c r="E39" s="35" t="str">
        <f aca="false">IF('Master Plan'!F44="","",'Master Plan'!F44)</f>
        <v/>
      </c>
      <c r="F39" s="35" t="str">
        <f aca="false">IF('Master Plan'!G44="","",'Master Plan'!G44)</f>
        <v/>
      </c>
      <c r="G39" s="36" t="n">
        <f aca="false">IF('Master Plan'!I44="","",'Master Plan'!I44)</f>
        <v>0</v>
      </c>
      <c r="H39" s="33" t="str">
        <f aca="false">IF('Master Plan'!K44="","",'Master Plan'!K44)</f>
        <v>Not Started</v>
      </c>
      <c r="I39" s="33" t="str">
        <f aca="false">IF('Master Plan'!L44="","",'Master Plan'!L44)</f>
        <v>No dates</v>
      </c>
      <c r="J39" s="34" t="str">
        <f aca="false">IF('Master Plan'!M44="","",'Master Plan'!M44)</f>
        <v/>
      </c>
      <c r="K39" s="34" t="str">
        <f aca="false">IF('Master Plan'!P44="","",'Master Plan'!P44)</f>
        <v>Proposed</v>
      </c>
    </row>
    <row r="40" customFormat="false" ht="23.85" hidden="false" customHeight="false" outlineLevel="0" collapsed="false">
      <c r="A40" s="33" t="str">
        <f aca="false">IF('Master Plan'!A45="","",'Master Plan'!A45)</f>
        <v>T-041</v>
      </c>
      <c r="B40" s="34" t="str">
        <f aca="false">IF('Master Plan'!C45="","",'Master Plan'!C45)</f>
        <v>FEM Description</v>
      </c>
      <c r="C40" s="34" t="str">
        <f aca="false">IF('Master Plan'!D45="","",'Master Plan'!D45)</f>
        <v>FEM subsections (Model Setup, Boundary Conditions, Results) and images</v>
      </c>
      <c r="D40" s="34" t="str">
        <f aca="false">IF('Master Plan'!E45="","",'Master Plan'!E45)</f>
        <v>Unassigned</v>
      </c>
      <c r="E40" s="35" t="str">
        <f aca="false">IF('Master Plan'!F45="","",'Master Plan'!F45)</f>
        <v/>
      </c>
      <c r="F40" s="35" t="str">
        <f aca="false">IF('Master Plan'!G45="","",'Master Plan'!G45)</f>
        <v/>
      </c>
      <c r="G40" s="36" t="n">
        <f aca="false">IF('Master Plan'!I45="","",'Master Plan'!I45)</f>
        <v>0</v>
      </c>
      <c r="H40" s="33" t="str">
        <f aca="false">IF('Master Plan'!K45="","",'Master Plan'!K45)</f>
        <v>Blocked</v>
      </c>
      <c r="I40" s="33" t="str">
        <f aca="false">IF('Master Plan'!L45="","",'Master Plan'!L45)</f>
        <v>Blocked</v>
      </c>
      <c r="J40" s="34" t="str">
        <f aca="false">IF('Master Plan'!M45="","",'Master Plan'!M45)</f>
        <v>ASG Team to review FEM requirements and clarify which FEM subsections to include (agreed 8/10/26)</v>
      </c>
      <c r="K40" s="34" t="str">
        <f aca="false">IF('Master Plan'!P45="","",'Master Plan'!P45)</f>
        <v>Proposed</v>
      </c>
    </row>
    <row r="41" customFormat="false" ht="23.85" hidden="false" customHeight="false" outlineLevel="0" collapsed="false">
      <c r="A41" s="33" t="str">
        <f aca="false">IF('Master Plan'!A46="","",'Master Plan'!A46)</f>
        <v>T-042</v>
      </c>
      <c r="B41" s="34" t="str">
        <f aca="false">IF('Master Plan'!C46="","",'Master Plan'!C46)</f>
        <v>Appendix</v>
      </c>
      <c r="C41" s="34" t="str">
        <f aca="false">IF('Master Plan'!D46="","",'Master Plan'!D46)</f>
        <v>Automation to populate Appendix from ASG-provided folder</v>
      </c>
      <c r="D41" s="34" t="str">
        <f aca="false">IF('Master Plan'!E46="","",'Master Plan'!E46)</f>
        <v>Unassigned</v>
      </c>
      <c r="E41" s="35" t="str">
        <f aca="false">IF('Master Plan'!F46="","",'Master Plan'!F46)</f>
        <v/>
      </c>
      <c r="F41" s="35" t="str">
        <f aca="false">IF('Master Plan'!G46="","",'Master Plan'!G46)</f>
        <v/>
      </c>
      <c r="G41" s="36" t="n">
        <f aca="false">IF('Master Plan'!I46="","",'Master Plan'!I46)</f>
        <v>0</v>
      </c>
      <c r="H41" s="33" t="str">
        <f aca="false">IF('Master Plan'!K46="","",'Master Plan'!K46)</f>
        <v>Blocked</v>
      </c>
      <c r="I41" s="33" t="str">
        <f aca="false">IF('Master Plan'!L46="","",'Master Plan'!L46)</f>
        <v>Blocked</v>
      </c>
      <c r="J41" s="34" t="str">
        <f aca="false">IF('Master Plan'!M46="","",'Master Plan'!M46)</f>
        <v>ASG Team to provide folder with Appendix files (agreed 9/7/26)</v>
      </c>
      <c r="K41" s="34" t="str">
        <f aca="false">IF('Master Plan'!P46="","",'Master Plan'!P46)</f>
        <v>Proposed</v>
      </c>
    </row>
    <row r="42" customFormat="false" ht="15" hidden="false" customHeight="false" outlineLevel="0" collapsed="false">
      <c r="A42" s="33" t="str">
        <f aca="false">IF('Master Plan'!A47="","",'Master Plan'!A47)</f>
        <v>T-043</v>
      </c>
      <c r="B42" s="34" t="str">
        <f aca="false">IF('Master Plan'!C47="","",'Master Plan'!C47)</f>
        <v>Appendix</v>
      </c>
      <c r="C42" s="34" t="str">
        <f aca="false">IF('Master Plan'!D47="","",'Master Plan'!D47)</f>
        <v>YAML to add Appendix section in AR</v>
      </c>
      <c r="D42" s="34" t="str">
        <f aca="false">IF('Master Plan'!E47="","",'Master Plan'!E47)</f>
        <v>Unassigned</v>
      </c>
      <c r="E42" s="35" t="str">
        <f aca="false">IF('Master Plan'!F47="","",'Master Plan'!F47)</f>
        <v/>
      </c>
      <c r="F42" s="35" t="str">
        <f aca="false">IF('Master Plan'!G47="","",'Master Plan'!G47)</f>
        <v/>
      </c>
      <c r="G42" s="36" t="n">
        <f aca="false">IF('Master Plan'!I47="","",'Master Plan'!I47)</f>
        <v>0</v>
      </c>
      <c r="H42" s="33" t="str">
        <f aca="false">IF('Master Plan'!K47="","",'Master Plan'!K47)</f>
        <v>Not Started</v>
      </c>
      <c r="I42" s="33" t="str">
        <f aca="false">IF('Master Plan'!L47="","",'Master Plan'!L47)</f>
        <v>No dates</v>
      </c>
      <c r="J42" s="34" t="str">
        <f aca="false">IF('Master Plan'!M47="","",'Master Plan'!M47)</f>
        <v/>
      </c>
      <c r="K42" s="34" t="str">
        <f aca="false">IF('Master Plan'!P47="","",'Master Plan'!P47)</f>
        <v>Proposed</v>
      </c>
    </row>
  </sheetData>
  <autoFilter ref="A4:K42"/>
  <conditionalFormatting sqref="H5:H42">
    <cfRule type="cellIs" priority="2" operator="equal" aboveAverage="0" equalAverage="0" bottom="0" percent="0" rank="0" text="" dxfId="15">
      <formula>"Complete"</formula>
    </cfRule>
    <cfRule type="cellIs" priority="3" operator="equal" aboveAverage="0" equalAverage="0" bottom="0" percent="0" rank="0" text="" dxfId="16">
      <formula>"In Progress"</formula>
    </cfRule>
    <cfRule type="cellIs" priority="4" operator="equal" aboveAverage="0" equalAverage="0" bottom="0" percent="0" rank="0" text="" dxfId="17">
      <formula>"Blocked"</formula>
    </cfRule>
    <cfRule type="cellIs" priority="5" operator="equal" aboveAverage="0" equalAverage="0" bottom="0" percent="0" rank="0" text="" dxfId="18">
      <formula>"Not Started"</formula>
    </cfRule>
    <cfRule type="cellIs" priority="6" operator="equal" aboveAverage="0" equalAverage="0" bottom="0" percent="0" rank="0" text="" dxfId="19">
      <formula>"OVERDUE"</formula>
    </cfRule>
    <cfRule type="cellIs" priority="7" operator="equal" aboveAverage="0" equalAverage="0" bottom="0" percent="0" rank="0" text="" dxfId="20">
      <formula>"Due in 7 days"</formula>
    </cfRule>
    <cfRule type="cellIs" priority="8" operator="equal" aboveAverage="0" equalAverage="0" bottom="0" percent="0" rank="0" text="" dxfId="15">
      <formula>"On track"</formula>
    </cfRule>
    <cfRule type="cellIs" priority="9" operator="equal" aboveAverage="0" equalAverage="0" bottom="0" percent="0" rank="0" text="" dxfId="15">
      <formula>"Done"</formula>
    </cfRule>
  </conditionalFormatting>
  <conditionalFormatting sqref="I5:I42">
    <cfRule type="cellIs" priority="10" operator="equal" aboveAverage="0" equalAverage="0" bottom="0" percent="0" rank="0" text="" dxfId="15">
      <formula>"Complete"</formula>
    </cfRule>
    <cfRule type="cellIs" priority="11" operator="equal" aboveAverage="0" equalAverage="0" bottom="0" percent="0" rank="0" text="" dxfId="16">
      <formula>"In Progress"</formula>
    </cfRule>
    <cfRule type="cellIs" priority="12" operator="equal" aboveAverage="0" equalAverage="0" bottom="0" percent="0" rank="0" text="" dxfId="17">
      <formula>"Blocked"</formula>
    </cfRule>
    <cfRule type="cellIs" priority="13" operator="equal" aboveAverage="0" equalAverage="0" bottom="0" percent="0" rank="0" text="" dxfId="18">
      <formula>"Not Started"</formula>
    </cfRule>
    <cfRule type="cellIs" priority="14" operator="equal" aboveAverage="0" equalAverage="0" bottom="0" percent="0" rank="0" text="" dxfId="19">
      <formula>"OVERDUE"</formula>
    </cfRule>
    <cfRule type="cellIs" priority="15" operator="equal" aboveAverage="0" equalAverage="0" bottom="0" percent="0" rank="0" text="" dxfId="20">
      <formula>"Due in 7 days"</formula>
    </cfRule>
    <cfRule type="cellIs" priority="16" operator="equal" aboveAverage="0" equalAverage="0" bottom="0" percent="0" rank="0" text="" dxfId="15">
      <formula>"On track"</formula>
    </cfRule>
    <cfRule type="cellIs" priority="17" operator="equal" aboveAverage="0" equalAverage="0" bottom="0" percent="0" rank="0" text="" dxfId="15">
      <formula>"Done"</formula>
    </cfRule>
  </conditionalFormatting>
  <conditionalFormatting sqref="G5:G42">
    <cfRule type="dataBar" priority="18">
      <dataBar showValue="1" minLength="10" maxLength="90">
        <cfvo type="num" val="0"/>
        <cfvo type="num" val="1"/>
        <color rgb="FF63BE7B"/>
      </dataBar>
      <extLst>
        <ext xmlns:x14="http://schemas.microsoft.com/office/spreadsheetml/2009/9/main" uri="{B025F937-C7B1-47D3-B67F-A62EFF666E3E}">
          <x14:id>{77D5A0D0-7216-4797-B190-BA9DB5743227}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77D5A0D0-7216-4797-B190-BA9DB5743227}">
            <x14:dataBar minLength="10" maxLength="90" axisPosition="none" gradient="true">
              <x14:cfvo type="num">
                <xm:f>0</xm:f>
              </x14:cfvo>
              <x14:cfvo type="num">
                <xm:f>1</xm:f>
              </x14:cfvo>
              <x14:negativeFillColor rgb="FF63BE7B"/>
              <x14:axisColor rgb="FF000000"/>
            </x14:dataBar>
          </x14:cfRule>
          <xm:sqref>G5:G42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60"/>
    <col collapsed="false" customWidth="true" hidden="false" outlineLevel="0" max="4" min="4" style="0" width="16"/>
    <col collapsed="false" customWidth="true" hidden="false" outlineLevel="0" max="6" min="5" style="0" width="13"/>
    <col collapsed="false" customWidth="true" hidden="false" outlineLevel="0" max="7" min="7" style="0" width="10"/>
    <col collapsed="false" customWidth="true" hidden="false" outlineLevel="0" max="8" min="8" style="0" width="12"/>
    <col collapsed="false" customWidth="true" hidden="false" outlineLevel="0" max="9" min="9" style="0" width="15"/>
    <col collapsed="false" customWidth="true" hidden="false" outlineLevel="0" max="10" min="10" style="0" width="50"/>
    <col collapsed="false" customWidth="true" hidden="false" outlineLevel="0" max="11" min="11" style="0" width="13"/>
  </cols>
  <sheetData>
    <row r="1" customFormat="false" ht="17.35" hidden="false" customHeight="false" outlineLevel="0" collapsed="false">
      <c r="A1" s="1" t="s">
        <v>256</v>
      </c>
      <c r="F1" s="31" t="s">
        <v>252</v>
      </c>
      <c r="G1" s="2" t="n">
        <f aca="false">COUNTIF('Master Plan'!$B$5:$B$73,"API")</f>
        <v>7</v>
      </c>
      <c r="H1" s="31" t="s">
        <v>253</v>
      </c>
      <c r="I1" s="32" t="n">
        <f aca="false">IFERROR(AVERAGEIFS('Master Plan'!$I$5:$I$73,'Master Plan'!$B$5:$B$73,"API"),0)</f>
        <v>0.442857142857143</v>
      </c>
    </row>
    <row r="2" customFormat="false" ht="15" hidden="false" customHeight="false" outlineLevel="0" collapsed="false">
      <c r="A2" s="4" t="s">
        <v>254</v>
      </c>
    </row>
    <row r="4" customFormat="false" ht="30" hidden="false" customHeight="true" outlineLevel="0" collapsed="false">
      <c r="A4" s="5" t="s">
        <v>37</v>
      </c>
      <c r="B4" s="5" t="s">
        <v>38</v>
      </c>
      <c r="C4" s="5" t="s">
        <v>39</v>
      </c>
      <c r="D4" s="5" t="s">
        <v>18</v>
      </c>
      <c r="E4" s="5" t="s">
        <v>40</v>
      </c>
      <c r="F4" s="5" t="s">
        <v>41</v>
      </c>
      <c r="G4" s="5" t="s">
        <v>43</v>
      </c>
      <c r="H4" s="5" t="s">
        <v>45</v>
      </c>
      <c r="I4" s="5" t="s">
        <v>46</v>
      </c>
      <c r="J4" s="5" t="s">
        <v>47</v>
      </c>
      <c r="K4" s="5" t="s">
        <v>50</v>
      </c>
    </row>
    <row r="5" customFormat="false" ht="15" hidden="false" customHeight="false" outlineLevel="0" collapsed="false">
      <c r="A5" s="33" t="str">
        <f aca="false">IF('Master Plan'!A48="","",'Master Plan'!A48)</f>
        <v>T-044</v>
      </c>
      <c r="B5" s="34" t="str">
        <f aca="false">IF('Master Plan'!C48="","",'Master Plan'!C48)</f>
        <v>Project Setup</v>
      </c>
      <c r="C5" s="34" t="str">
        <f aca="false">IF('Master Plan'!D48="","",'Master Plan'!D48)</f>
        <v>API for login page</v>
      </c>
      <c r="D5" s="34" t="str">
        <f aca="false">IF('Master Plan'!E48="","",'Master Plan'!E48)</f>
        <v>Abhik</v>
      </c>
      <c r="E5" s="35" t="n">
        <f aca="false">IF('Master Plan'!F48="","",'Master Plan'!F48)</f>
        <v>46286</v>
      </c>
      <c r="F5" s="35" t="n">
        <f aca="false">IF('Master Plan'!G48="","",'Master Plan'!G48)</f>
        <v>46304</v>
      </c>
      <c r="G5" s="36" t="n">
        <f aca="false">IF('Master Plan'!I48="","",'Master Plan'!I48)</f>
        <v>0.9</v>
      </c>
      <c r="H5" s="33" t="str">
        <f aca="false">IF('Master Plan'!K48="","",'Master Plan'!K48)</f>
        <v>In Progress</v>
      </c>
      <c r="I5" s="33" t="str">
        <f aca="false">IF('Master Plan'!L48="","",'Master Plan'!L48)</f>
        <v>OVERDUE</v>
      </c>
      <c r="J5" s="34" t="str">
        <f aca="false">IF('Master Plan'!M48="","",'Master Plan'!M48)</f>
        <v/>
      </c>
      <c r="K5" s="34" t="str">
        <f aca="false">IF('Master Plan'!P48="","",'Master Plan'!P48)</f>
        <v>Project Plan</v>
      </c>
    </row>
    <row r="6" customFormat="false" ht="15" hidden="false" customHeight="false" outlineLevel="0" collapsed="false">
      <c r="A6" s="33" t="str">
        <f aca="false">IF('Master Plan'!A49="","",'Master Plan'!A49)</f>
        <v>T-045</v>
      </c>
      <c r="B6" s="34" t="str">
        <f aca="false">IF('Master Plan'!C49="","",'Master Plan'!C49)</f>
        <v>Project Setup</v>
      </c>
      <c r="C6" s="34" t="str">
        <f aca="false">IF('Master Plan'!D49="","",'Master Plan'!D49)</f>
        <v>API layer folder setup (local env)</v>
      </c>
      <c r="D6" s="34" t="str">
        <f aca="false">IF('Master Plan'!E49="","",'Master Plan'!E49)</f>
        <v>Abhik</v>
      </c>
      <c r="E6" s="35" t="n">
        <f aca="false">IF('Master Plan'!F49="","",'Master Plan'!F49)</f>
        <v>46286</v>
      </c>
      <c r="F6" s="35" t="n">
        <f aca="false">IF('Master Plan'!G49="","",'Master Plan'!G49)</f>
        <v>46304</v>
      </c>
      <c r="G6" s="36" t="n">
        <f aca="false">IF('Master Plan'!I49="","",'Master Plan'!I49)</f>
        <v>0.9</v>
      </c>
      <c r="H6" s="33" t="str">
        <f aca="false">IF('Master Plan'!K49="","",'Master Plan'!K49)</f>
        <v>In Progress</v>
      </c>
      <c r="I6" s="33" t="str">
        <f aca="false">IF('Master Plan'!L49="","",'Master Plan'!L49)</f>
        <v>OVERDUE</v>
      </c>
      <c r="J6" s="34" t="str">
        <f aca="false">IF('Master Plan'!M49="","",'Master Plan'!M49)</f>
        <v/>
      </c>
      <c r="K6" s="34" t="str">
        <f aca="false">IF('Master Plan'!P49="","",'Master Plan'!P49)</f>
        <v>Project Plan</v>
      </c>
    </row>
    <row r="7" customFormat="false" ht="15" hidden="false" customHeight="false" outlineLevel="0" collapsed="false">
      <c r="A7" s="33" t="str">
        <f aca="false">IF('Master Plan'!A50="","",'Master Plan'!A50)</f>
        <v>T-046</v>
      </c>
      <c r="B7" s="34" t="str">
        <f aca="false">IF('Master Plan'!C50="","",'Master Plan'!C50)</f>
        <v>Header Section</v>
      </c>
      <c r="C7" s="34" t="str">
        <f aca="false">IF('Master Plan'!D50="","",'Master Plan'!D50)</f>
        <v>API design to add Header fields to Word template</v>
      </c>
      <c r="D7" s="34" t="str">
        <f aca="false">IF('Master Plan'!E50="","",'Master Plan'!E50)</f>
        <v>Abhik</v>
      </c>
      <c r="E7" s="35" t="n">
        <f aca="false">IF('Master Plan'!F50="","",'Master Plan'!F50)</f>
        <v>46293</v>
      </c>
      <c r="F7" s="35" t="n">
        <f aca="false">IF('Master Plan'!G50="","",'Master Plan'!G50)</f>
        <v>46318</v>
      </c>
      <c r="G7" s="36" t="n">
        <f aca="false">IF('Master Plan'!I50="","",'Master Plan'!I50)</f>
        <v>0.1</v>
      </c>
      <c r="H7" s="33" t="str">
        <f aca="false">IF('Master Plan'!K50="","",'Master Plan'!K50)</f>
        <v>In Progress</v>
      </c>
      <c r="I7" s="33" t="str">
        <f aca="false">IF('Master Plan'!L50="","",'Master Plan'!L50)</f>
        <v>On track</v>
      </c>
      <c r="J7" s="34" t="str">
        <f aca="false">IF('Master Plan'!M50="","",'Master Plan'!M50)</f>
        <v/>
      </c>
      <c r="K7" s="34" t="str">
        <f aca="false">IF('Master Plan'!P50="","",'Master Plan'!P50)</f>
        <v>Project Plan</v>
      </c>
    </row>
    <row r="8" customFormat="false" ht="15" hidden="false" customHeight="false" outlineLevel="0" collapsed="false">
      <c r="A8" s="33" t="str">
        <f aca="false">IF('Master Plan'!A51="","",'Master Plan'!A51)</f>
        <v>T-047</v>
      </c>
      <c r="B8" s="34" t="str">
        <f aca="false">IF('Master Plan'!C51="","",'Master Plan'!C51)</f>
        <v>Revision Record Table</v>
      </c>
      <c r="C8" s="34" t="str">
        <f aca="false">IF('Master Plan'!D51="","",'Master Plan'!D51)</f>
        <v>API design to add Revision fields to table</v>
      </c>
      <c r="D8" s="34" t="str">
        <f aca="false">IF('Master Plan'!E51="","",'Master Plan'!E51)</f>
        <v>Abhik</v>
      </c>
      <c r="E8" s="35" t="n">
        <f aca="false">IF('Master Plan'!F51="","",'Master Plan'!F51)</f>
        <v>46304</v>
      </c>
      <c r="F8" s="35" t="n">
        <f aca="false">IF('Master Plan'!G51="","",'Master Plan'!G51)</f>
        <v>46318</v>
      </c>
      <c r="G8" s="36" t="n">
        <f aca="false">IF('Master Plan'!I51="","",'Master Plan'!I51)</f>
        <v>0.2</v>
      </c>
      <c r="H8" s="33" t="str">
        <f aca="false">IF('Master Plan'!K51="","",'Master Plan'!K51)</f>
        <v>In Progress</v>
      </c>
      <c r="I8" s="33" t="str">
        <f aca="false">IF('Master Plan'!L51="","",'Master Plan'!L51)</f>
        <v>On track</v>
      </c>
      <c r="J8" s="34" t="str">
        <f aca="false">IF('Master Plan'!M51="","",'Master Plan'!M51)</f>
        <v/>
      </c>
      <c r="K8" s="34" t="str">
        <f aca="false">IF('Master Plan'!P51="","",'Master Plan'!P51)</f>
        <v>Project Plan</v>
      </c>
    </row>
    <row r="9" customFormat="false" ht="15" hidden="false" customHeight="false" outlineLevel="0" collapsed="false">
      <c r="A9" s="33" t="str">
        <f aca="false">IF('Master Plan'!A52="","",'Master Plan'!A52)</f>
        <v>T-048</v>
      </c>
      <c r="B9" s="34" t="str">
        <f aca="false">IF('Master Plan'!C52="","",'Master Plan'!C52)</f>
        <v>Analysis Checklist</v>
      </c>
      <c r="C9" s="34" t="str">
        <f aca="false">IF('Master Plan'!D52="","",'Master Plan'!D52)</f>
        <v>API for reading Failure Mode Matrix spreadsheet</v>
      </c>
      <c r="D9" s="34" t="str">
        <f aca="false">IF('Master Plan'!E52="","",'Master Plan'!E52)</f>
        <v>Abhik</v>
      </c>
      <c r="E9" s="35" t="n">
        <f aca="false">IF('Master Plan'!F52="","",'Master Plan'!F52)</f>
        <v>46286</v>
      </c>
      <c r="F9" s="35" t="n">
        <f aca="false">IF('Master Plan'!G52="","",'Master Plan'!G52)</f>
        <v>46304</v>
      </c>
      <c r="G9" s="36" t="n">
        <f aca="false">IF('Master Plan'!I52="","",'Master Plan'!I52)</f>
        <v>1</v>
      </c>
      <c r="H9" s="33" t="str">
        <f aca="false">IF('Master Plan'!K52="","",'Master Plan'!K52)</f>
        <v>Complete</v>
      </c>
      <c r="I9" s="33" t="str">
        <f aca="false">IF('Master Plan'!L52="","",'Master Plan'!L52)</f>
        <v>Done</v>
      </c>
      <c r="J9" s="34" t="str">
        <f aca="false">IF('Master Plan'!M52="","",'Master Plan'!M52)</f>
        <v>Not considered - previous ARs will be used</v>
      </c>
      <c r="K9" s="34" t="str">
        <f aca="false">IF('Master Plan'!P52="","",'Master Plan'!P52)</f>
        <v>Project Plan</v>
      </c>
    </row>
    <row r="10" customFormat="false" ht="23.85" hidden="false" customHeight="false" outlineLevel="0" collapsed="false">
      <c r="A10" s="33" t="str">
        <f aca="false">IF('Master Plan'!A53="","",'Master Plan'!A53)</f>
        <v>T-049</v>
      </c>
      <c r="B10" s="34" t="str">
        <f aca="false">IF('Master Plan'!C53="","",'Master Plan'!C53)</f>
        <v>Scope Section</v>
      </c>
      <c r="C10" s="34" t="str">
        <f aca="false">IF('Master Plan'!D53="","",'Master Plan'!D53)</f>
        <v>API to store/serve Program, Component, Loads inputs (shared by Scope and Component Description)</v>
      </c>
      <c r="D10" s="34" t="str">
        <f aca="false">IF('Master Plan'!E53="","",'Master Plan'!E53)</f>
        <v>Unassigned</v>
      </c>
      <c r="E10" s="35" t="str">
        <f aca="false">IF('Master Plan'!F53="","",'Master Plan'!F53)</f>
        <v/>
      </c>
      <c r="F10" s="35" t="str">
        <f aca="false">IF('Master Plan'!G53="","",'Master Plan'!G53)</f>
        <v/>
      </c>
      <c r="G10" s="36" t="n">
        <f aca="false">IF('Master Plan'!I53="","",'Master Plan'!I53)</f>
        <v>0</v>
      </c>
      <c r="H10" s="33" t="str">
        <f aca="false">IF('Master Plan'!K53="","",'Master Plan'!K53)</f>
        <v>Not Started</v>
      </c>
      <c r="I10" s="33" t="str">
        <f aca="false">IF('Master Plan'!L53="","",'Master Plan'!L53)</f>
        <v>No dates</v>
      </c>
      <c r="J10" s="34" t="str">
        <f aca="false">IF('Master Plan'!M53="","",'Master Plan'!M53)</f>
        <v/>
      </c>
      <c r="K10" s="34" t="str">
        <f aca="false">IF('Master Plan'!P53="","",'Master Plan'!P53)</f>
        <v>Proposed</v>
      </c>
    </row>
    <row r="11" customFormat="false" ht="15" hidden="false" customHeight="false" outlineLevel="0" collapsed="false">
      <c r="A11" s="33" t="str">
        <f aca="false">IF('Master Plan'!A54="","",'Master Plan'!A54)</f>
        <v>T-050</v>
      </c>
      <c r="B11" s="34" t="str">
        <f aca="false">IF('Master Plan'!C54="","",'Master Plan'!C54)</f>
        <v>FEM Description</v>
      </c>
      <c r="C11" s="34" t="str">
        <f aca="false">IF('Master Plan'!D54="","",'Master Plan'!D54)</f>
        <v>API to receive BDF/DAT files and return extracted FEM attributes</v>
      </c>
      <c r="D11" s="34" t="str">
        <f aca="false">IF('Master Plan'!E54="","",'Master Plan'!E54)</f>
        <v>Unassigned</v>
      </c>
      <c r="E11" s="35" t="str">
        <f aca="false">IF('Master Plan'!F54="","",'Master Plan'!F54)</f>
        <v/>
      </c>
      <c r="F11" s="35" t="str">
        <f aca="false">IF('Master Plan'!G54="","",'Master Plan'!G54)</f>
        <v/>
      </c>
      <c r="G11" s="36" t="n">
        <f aca="false">IF('Master Plan'!I54="","",'Master Plan'!I54)</f>
        <v>0</v>
      </c>
      <c r="H11" s="33" t="str">
        <f aca="false">IF('Master Plan'!K54="","",'Master Plan'!K54)</f>
        <v>Not Started</v>
      </c>
      <c r="I11" s="33" t="str">
        <f aca="false">IF('Master Plan'!L54="","",'Master Plan'!L54)</f>
        <v>No dates</v>
      </c>
      <c r="J11" s="34" t="str">
        <f aca="false">IF('Master Plan'!M54="","",'Master Plan'!M54)</f>
        <v/>
      </c>
      <c r="K11" s="34" t="str">
        <f aca="false">IF('Master Plan'!P54="","",'Master Plan'!P54)</f>
        <v>Proposed</v>
      </c>
    </row>
  </sheetData>
  <autoFilter ref="A4:K11"/>
  <conditionalFormatting sqref="H5:H11">
    <cfRule type="cellIs" priority="2" operator="equal" aboveAverage="0" equalAverage="0" bottom="0" percent="0" rank="0" text="" dxfId="15">
      <formula>"Complete"</formula>
    </cfRule>
    <cfRule type="cellIs" priority="3" operator="equal" aboveAverage="0" equalAverage="0" bottom="0" percent="0" rank="0" text="" dxfId="16">
      <formula>"In Progress"</formula>
    </cfRule>
    <cfRule type="cellIs" priority="4" operator="equal" aboveAverage="0" equalAverage="0" bottom="0" percent="0" rank="0" text="" dxfId="17">
      <formula>"Blocked"</formula>
    </cfRule>
    <cfRule type="cellIs" priority="5" operator="equal" aboveAverage="0" equalAverage="0" bottom="0" percent="0" rank="0" text="" dxfId="18">
      <formula>"Not Started"</formula>
    </cfRule>
    <cfRule type="cellIs" priority="6" operator="equal" aboveAverage="0" equalAverage="0" bottom="0" percent="0" rank="0" text="" dxfId="19">
      <formula>"OVERDUE"</formula>
    </cfRule>
    <cfRule type="cellIs" priority="7" operator="equal" aboveAverage="0" equalAverage="0" bottom="0" percent="0" rank="0" text="" dxfId="20">
      <formula>"Due in 7 days"</formula>
    </cfRule>
    <cfRule type="cellIs" priority="8" operator="equal" aboveAverage="0" equalAverage="0" bottom="0" percent="0" rank="0" text="" dxfId="15">
      <formula>"On track"</formula>
    </cfRule>
    <cfRule type="cellIs" priority="9" operator="equal" aboveAverage="0" equalAverage="0" bottom="0" percent="0" rank="0" text="" dxfId="15">
      <formula>"Done"</formula>
    </cfRule>
  </conditionalFormatting>
  <conditionalFormatting sqref="I5:I11">
    <cfRule type="cellIs" priority="10" operator="equal" aboveAverage="0" equalAverage="0" bottom="0" percent="0" rank="0" text="" dxfId="15">
      <formula>"Complete"</formula>
    </cfRule>
    <cfRule type="cellIs" priority="11" operator="equal" aboveAverage="0" equalAverage="0" bottom="0" percent="0" rank="0" text="" dxfId="16">
      <formula>"In Progress"</formula>
    </cfRule>
    <cfRule type="cellIs" priority="12" operator="equal" aboveAverage="0" equalAverage="0" bottom="0" percent="0" rank="0" text="" dxfId="17">
      <formula>"Blocked"</formula>
    </cfRule>
    <cfRule type="cellIs" priority="13" operator="equal" aboveAverage="0" equalAverage="0" bottom="0" percent="0" rank="0" text="" dxfId="18">
      <formula>"Not Started"</formula>
    </cfRule>
    <cfRule type="cellIs" priority="14" operator="equal" aboveAverage="0" equalAverage="0" bottom="0" percent="0" rank="0" text="" dxfId="19">
      <formula>"OVERDUE"</formula>
    </cfRule>
    <cfRule type="cellIs" priority="15" operator="equal" aboveAverage="0" equalAverage="0" bottom="0" percent="0" rank="0" text="" dxfId="20">
      <formula>"Due in 7 days"</formula>
    </cfRule>
    <cfRule type="cellIs" priority="16" operator="equal" aboveAverage="0" equalAverage="0" bottom="0" percent="0" rank="0" text="" dxfId="15">
      <formula>"On track"</formula>
    </cfRule>
    <cfRule type="cellIs" priority="17" operator="equal" aboveAverage="0" equalAverage="0" bottom="0" percent="0" rank="0" text="" dxfId="15">
      <formula>"Done"</formula>
    </cfRule>
  </conditionalFormatting>
  <conditionalFormatting sqref="G5:G11">
    <cfRule type="dataBar" priority="18">
      <dataBar showValue="1" minLength="10" maxLength="90">
        <cfvo type="num" val="0"/>
        <cfvo type="num" val="1"/>
        <color rgb="FF63BE7B"/>
      </dataBar>
      <extLst>
        <ext xmlns:x14="http://schemas.microsoft.com/office/spreadsheetml/2009/9/main" uri="{B025F937-C7B1-47D3-B67F-A62EFF666E3E}">
          <x14:id>{A270B8DB-A969-4A31-90AC-81D1B34120DC}</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270B8DB-A969-4A31-90AC-81D1B34120DC}">
            <x14:dataBar minLength="10" maxLength="90" axisPosition="none" gradient="true">
              <x14:cfvo type="num">
                <xm:f>0</xm:f>
              </x14:cfvo>
              <x14:cfvo type="num">
                <xm:f>1</xm:f>
              </x14:cfvo>
              <x14:negativeFillColor rgb="FF63BE7B"/>
              <x14:axisColor rgb="FF000000"/>
            </x14:dataBar>
          </x14:cfRule>
          <xm:sqref>G5:G11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K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60"/>
    <col collapsed="false" customWidth="true" hidden="false" outlineLevel="0" max="4" min="4" style="0" width="16"/>
    <col collapsed="false" customWidth="true" hidden="false" outlineLevel="0" max="6" min="5" style="0" width="13"/>
    <col collapsed="false" customWidth="true" hidden="false" outlineLevel="0" max="7" min="7" style="0" width="10"/>
    <col collapsed="false" customWidth="true" hidden="false" outlineLevel="0" max="8" min="8" style="0" width="12"/>
    <col collapsed="false" customWidth="true" hidden="false" outlineLevel="0" max="9" min="9" style="0" width="15"/>
    <col collapsed="false" customWidth="true" hidden="false" outlineLevel="0" max="10" min="10" style="0" width="50"/>
    <col collapsed="false" customWidth="true" hidden="false" outlineLevel="0" max="11" min="11" style="0" width="13"/>
  </cols>
  <sheetData>
    <row r="1" customFormat="false" ht="17.35" hidden="false" customHeight="false" outlineLevel="0" collapsed="false">
      <c r="A1" s="1" t="s">
        <v>257</v>
      </c>
      <c r="F1" s="31" t="s">
        <v>252</v>
      </c>
      <c r="G1" s="2" t="n">
        <f aca="false">COUNTIF('Master Plan'!$B$5:$B$73,"LLM &amp; RAG")</f>
        <v>10</v>
      </c>
      <c r="H1" s="31" t="s">
        <v>253</v>
      </c>
      <c r="I1" s="32" t="n">
        <f aca="false">IFERROR(AVERAGEIFS('Master Plan'!$I$5:$I$73,'Master Plan'!$B$5:$B$73,"LLM &amp; RAG"),0)</f>
        <v>0</v>
      </c>
    </row>
    <row r="2" customFormat="false" ht="15" hidden="false" customHeight="false" outlineLevel="0" collapsed="false">
      <c r="A2" s="4" t="s">
        <v>254</v>
      </c>
    </row>
    <row r="4" customFormat="false" ht="30" hidden="false" customHeight="true" outlineLevel="0" collapsed="false">
      <c r="A4" s="5" t="s">
        <v>37</v>
      </c>
      <c r="B4" s="5" t="s">
        <v>38</v>
      </c>
      <c r="C4" s="5" t="s">
        <v>39</v>
      </c>
      <c r="D4" s="5" t="s">
        <v>18</v>
      </c>
      <c r="E4" s="5" t="s">
        <v>40</v>
      </c>
      <c r="F4" s="5" t="s">
        <v>41</v>
      </c>
      <c r="G4" s="5" t="s">
        <v>43</v>
      </c>
      <c r="H4" s="5" t="s">
        <v>45</v>
      </c>
      <c r="I4" s="5" t="s">
        <v>46</v>
      </c>
      <c r="J4" s="5" t="s">
        <v>47</v>
      </c>
      <c r="K4" s="5" t="s">
        <v>50</v>
      </c>
    </row>
    <row r="5" customFormat="false" ht="15" hidden="false" customHeight="false" outlineLevel="0" collapsed="false">
      <c r="A5" s="33" t="str">
        <f aca="false">IF('Master Plan'!A55="","",'Master Plan'!A55)</f>
        <v>T-051</v>
      </c>
      <c r="B5" s="34" t="str">
        <f aca="false">IF('Master Plan'!C55="","",'Master Plan'!C55)</f>
        <v>Component Description</v>
      </c>
      <c r="C5" s="34" t="str">
        <f aca="false">IF('Master Plan'!D55="","",'Master Plan'!D55)</f>
        <v>RAG to populate Connection Type, Load Path</v>
      </c>
      <c r="D5" s="34" t="str">
        <f aca="false">IF('Master Plan'!E55="","",'Master Plan'!E55)</f>
        <v>Rajesh</v>
      </c>
      <c r="E5" s="35" t="n">
        <f aca="false">IF('Master Plan'!F55="","",'Master Plan'!F55)</f>
        <v>46304</v>
      </c>
      <c r="F5" s="35" t="n">
        <f aca="false">IF('Master Plan'!G55="","",'Master Plan'!G55)</f>
        <v>46318</v>
      </c>
      <c r="G5" s="36" t="n">
        <f aca="false">IF('Master Plan'!I55="","",'Master Plan'!I55)</f>
        <v>0</v>
      </c>
      <c r="H5" s="33" t="str">
        <f aca="false">IF('Master Plan'!K55="","",'Master Plan'!K55)</f>
        <v>Not Started</v>
      </c>
      <c r="I5" s="33" t="str">
        <f aca="false">IF('Master Plan'!L55="","",'Master Plan'!L55)</f>
        <v>On track</v>
      </c>
      <c r="J5" s="34" t="str">
        <f aca="false">IF('Master Plan'!M55="","",'Master Plan'!M55)</f>
        <v/>
      </c>
      <c r="K5" s="34" t="str">
        <f aca="false">IF('Master Plan'!P55="","",'Master Plan'!P55)</f>
        <v>Project Plan</v>
      </c>
    </row>
    <row r="6" customFormat="false" ht="15" hidden="false" customHeight="false" outlineLevel="0" collapsed="false">
      <c r="A6" s="33" t="str">
        <f aca="false">IF('Master Plan'!A56="","",'Master Plan'!A56)</f>
        <v>T-052</v>
      </c>
      <c r="B6" s="34" t="str">
        <f aca="false">IF('Master Plan'!C56="","",'Master Plan'!C56)</f>
        <v>Component Description</v>
      </c>
      <c r="C6" s="34" t="str">
        <f aca="false">IF('Master Plan'!D56="","",'Master Plan'!D56)</f>
        <v>LLM generation for Component Description</v>
      </c>
      <c r="D6" s="34" t="str">
        <f aca="false">IF('Master Plan'!E56="","",'Master Plan'!E56)</f>
        <v>Srujan</v>
      </c>
      <c r="E6" s="35" t="n">
        <f aca="false">IF('Master Plan'!F56="","",'Master Plan'!F56)</f>
        <v>46304</v>
      </c>
      <c r="F6" s="35" t="n">
        <f aca="false">IF('Master Plan'!G56="","",'Master Plan'!G56)</f>
        <v>46318</v>
      </c>
      <c r="G6" s="36" t="n">
        <f aca="false">IF('Master Plan'!I56="","",'Master Plan'!I56)</f>
        <v>0</v>
      </c>
      <c r="H6" s="33" t="str">
        <f aca="false">IF('Master Plan'!K56="","",'Master Plan'!K56)</f>
        <v>Not Started</v>
      </c>
      <c r="I6" s="33" t="str">
        <f aca="false">IF('Master Plan'!L56="","",'Master Plan'!L56)</f>
        <v>On track</v>
      </c>
      <c r="J6" s="34" t="str">
        <f aca="false">IF('Master Plan'!M56="","",'Master Plan'!M56)</f>
        <v/>
      </c>
      <c r="K6" s="34" t="str">
        <f aca="false">IF('Master Plan'!P56="","",'Master Plan'!P56)</f>
        <v>Project Plan</v>
      </c>
    </row>
    <row r="7" customFormat="false" ht="15" hidden="false" customHeight="false" outlineLevel="0" collapsed="false">
      <c r="A7" s="33" t="str">
        <f aca="false">IF('Master Plan'!A57="","",'Master Plan'!A57)</f>
        <v>T-053</v>
      </c>
      <c r="B7" s="34" t="str">
        <f aca="false">IF('Master Plan'!C57="","",'Master Plan'!C57)</f>
        <v>Loads Section</v>
      </c>
      <c r="C7" s="34" t="str">
        <f aca="false">IF('Master Plan'!D57="","",'Master Plan'!D57)</f>
        <v>LLM generation for Loads section in AR</v>
      </c>
      <c r="D7" s="34" t="str">
        <f aca="false">IF('Master Plan'!E57="","",'Master Plan'!E57)</f>
        <v>Unassigned</v>
      </c>
      <c r="E7" s="35" t="str">
        <f aca="false">IF('Master Plan'!F57="","",'Master Plan'!F57)</f>
        <v/>
      </c>
      <c r="F7" s="35" t="str">
        <f aca="false">IF('Master Plan'!G57="","",'Master Plan'!G57)</f>
        <v/>
      </c>
      <c r="G7" s="36" t="n">
        <f aca="false">IF('Master Plan'!I57="","",'Master Plan'!I57)</f>
        <v>0</v>
      </c>
      <c r="H7" s="33" t="str">
        <f aca="false">IF('Master Plan'!K57="","",'Master Plan'!K57)</f>
        <v>Blocked</v>
      </c>
      <c r="I7" s="33" t="str">
        <f aca="false">IF('Master Plan'!L57="","",'Master Plan'!L57)</f>
        <v>Blocked</v>
      </c>
      <c r="J7" s="34" t="str">
        <f aca="false">IF('Master Plan'!M57="","",'Master Plan'!M57)</f>
        <v>ASG Team One Stop Stress tool not ready yet for Loads</v>
      </c>
      <c r="K7" s="34" t="str">
        <f aca="false">IF('Master Plan'!P57="","",'Master Plan'!P57)</f>
        <v>Project Plan</v>
      </c>
    </row>
    <row r="8" customFormat="false" ht="23.85" hidden="false" customHeight="false" outlineLevel="0" collapsed="false">
      <c r="A8" s="33" t="str">
        <f aca="false">IF('Master Plan'!A58="","",'Master Plan'!A58)</f>
        <v>T-054</v>
      </c>
      <c r="B8" s="34" t="str">
        <f aca="false">IF('Master Plan'!C58="","",'Master Plan'!C58)</f>
        <v>Static Analysis Section</v>
      </c>
      <c r="C8" s="34" t="str">
        <f aca="false">IF('Master Plan'!D58="","",'Master Plan'!D58)</f>
        <v>LLM generation for Static Analysis section in AR (step-by-step calculation paragraphs)</v>
      </c>
      <c r="D8" s="34" t="str">
        <f aca="false">IF('Master Plan'!E58="","",'Master Plan'!E58)</f>
        <v>Unassigned</v>
      </c>
      <c r="E8" s="35" t="str">
        <f aca="false">IF('Master Plan'!F58="","",'Master Plan'!F58)</f>
        <v/>
      </c>
      <c r="F8" s="35" t="str">
        <f aca="false">IF('Master Plan'!G58="","",'Master Plan'!G58)</f>
        <v/>
      </c>
      <c r="G8" s="36" t="n">
        <f aca="false">IF('Master Plan'!I58="","",'Master Plan'!I58)</f>
        <v>0</v>
      </c>
      <c r="H8" s="33" t="str">
        <f aca="false">IF('Master Plan'!K58="","",'Master Plan'!K58)</f>
        <v>Blocked</v>
      </c>
      <c r="I8" s="33" t="str">
        <f aca="false">IF('Master Plan'!L58="","",'Master Plan'!L58)</f>
        <v>Blocked</v>
      </c>
      <c r="J8" s="34" t="str">
        <f aca="false">IF('Master Plan'!M58="","",'Master Plan'!M58)</f>
        <v>ASG Team One Stop Stress tool not ready yet for Static Analysis</v>
      </c>
      <c r="K8" s="34" t="str">
        <f aca="false">IF('Master Plan'!P58="","",'Master Plan'!P58)</f>
        <v>Project Plan</v>
      </c>
    </row>
    <row r="9" customFormat="false" ht="23.85" hidden="false" customHeight="false" outlineLevel="0" collapsed="false">
      <c r="A9" s="33" t="str">
        <f aca="false">IF('Master Plan'!A59="","",'Master Plan'!A59)</f>
        <v>T-055</v>
      </c>
      <c r="B9" s="34" t="str">
        <f aca="false">IF('Master Plan'!C59="","",'Master Plan'!C59)</f>
        <v>Fan Cowl AR - Release &amp; Testing</v>
      </c>
      <c r="C9" s="34" t="str">
        <f aca="false">IF('Master Plan'!D59="","",'Master Plan'!D59)</f>
        <v>RAG pipeline testing</v>
      </c>
      <c r="D9" s="34" t="str">
        <f aca="false">IF('Master Plan'!E59="","",'Master Plan'!E59)</f>
        <v>Srujan, Rajesh, Abhik</v>
      </c>
      <c r="E9" s="35" t="n">
        <f aca="false">IF('Master Plan'!F59="","",'Master Plan'!F59)</f>
        <v>46304</v>
      </c>
      <c r="F9" s="35" t="n">
        <f aca="false">IF('Master Plan'!G59="","",'Master Plan'!G59)</f>
        <v>46358</v>
      </c>
      <c r="G9" s="36" t="n">
        <f aca="false">IF('Master Plan'!I59="","",'Master Plan'!I59)</f>
        <v>0</v>
      </c>
      <c r="H9" s="33" t="str">
        <f aca="false">IF('Master Plan'!K59="","",'Master Plan'!K59)</f>
        <v>Not Started</v>
      </c>
      <c r="I9" s="33" t="str">
        <f aca="false">IF('Master Plan'!L59="","",'Master Plan'!L59)</f>
        <v>On track</v>
      </c>
      <c r="J9" s="34" t="str">
        <f aca="false">IF('Master Plan'!M59="","",'Master Plan'!M59)</f>
        <v/>
      </c>
      <c r="K9" s="34" t="str">
        <f aca="false">IF('Master Plan'!P59="","",'Master Plan'!P59)</f>
        <v>Project Plan</v>
      </c>
    </row>
    <row r="10" customFormat="false" ht="23.85" hidden="false" customHeight="false" outlineLevel="0" collapsed="false">
      <c r="A10" s="33" t="str">
        <f aca="false">IF('Master Plan'!A60="","",'Master Plan'!A60)</f>
        <v>T-056</v>
      </c>
      <c r="B10" s="34" t="str">
        <f aca="false">IF('Master Plan'!C60="","",'Master Plan'!C60)</f>
        <v>Fan Cowl AR - Release &amp; Testing</v>
      </c>
      <c r="C10" s="34" t="str">
        <f aca="false">IF('Master Plan'!D60="","",'Master Plan'!D60)</f>
        <v>Testing LLM-generated text / RAG pipeline</v>
      </c>
      <c r="D10" s="34" t="str">
        <f aca="false">IF('Master Plan'!E60="","",'Master Plan'!E60)</f>
        <v>Srujan, Rajesh, Abhik</v>
      </c>
      <c r="E10" s="35" t="n">
        <f aca="false">IF('Master Plan'!F60="","",'Master Plan'!F60)</f>
        <v>46304</v>
      </c>
      <c r="F10" s="35" t="n">
        <f aca="false">IF('Master Plan'!G60="","",'Master Plan'!G60)</f>
        <v>46358</v>
      </c>
      <c r="G10" s="36" t="n">
        <f aca="false">IF('Master Plan'!I60="","",'Master Plan'!I60)</f>
        <v>0</v>
      </c>
      <c r="H10" s="33" t="str">
        <f aca="false">IF('Master Plan'!K60="","",'Master Plan'!K60)</f>
        <v>Not Started</v>
      </c>
      <c r="I10" s="33" t="str">
        <f aca="false">IF('Master Plan'!L60="","",'Master Plan'!L60)</f>
        <v>On track</v>
      </c>
      <c r="J10" s="34" t="str">
        <f aca="false">IF('Master Plan'!M60="","",'Master Plan'!M60)</f>
        <v/>
      </c>
      <c r="K10" s="34" t="str">
        <f aca="false">IF('Master Plan'!P60="","",'Master Plan'!P60)</f>
        <v>Project Plan</v>
      </c>
    </row>
    <row r="11" customFormat="false" ht="15" hidden="false" customHeight="false" outlineLevel="0" collapsed="false">
      <c r="A11" s="33" t="str">
        <f aca="false">IF('Master Plan'!A61="","",'Master Plan'!A61)</f>
        <v>T-057</v>
      </c>
      <c r="B11" s="34" t="str">
        <f aca="false">IF('Master Plan'!C61="","",'Master Plan'!C61)</f>
        <v>Environment &amp; RAG Setup</v>
      </c>
      <c r="C11" s="34" t="str">
        <f aca="false">IF('Master Plan'!D61="","",'Master Plan'!D61)</f>
        <v>RAG pipeline setup</v>
      </c>
      <c r="D11" s="34" t="str">
        <f aca="false">IF('Master Plan'!E61="","",'Master Plan'!E61)</f>
        <v>Unassigned</v>
      </c>
      <c r="E11" s="35" t="str">
        <f aca="false">IF('Master Plan'!F61="","",'Master Plan'!F61)</f>
        <v/>
      </c>
      <c r="F11" s="35" t="str">
        <f aca="false">IF('Master Plan'!G61="","",'Master Plan'!G61)</f>
        <v/>
      </c>
      <c r="G11" s="36" t="n">
        <f aca="false">IF('Master Plan'!I61="","",'Master Plan'!I61)</f>
        <v>0</v>
      </c>
      <c r="H11" s="33" t="str">
        <f aca="false">IF('Master Plan'!K61="","",'Master Plan'!K61)</f>
        <v>Not Started</v>
      </c>
      <c r="I11" s="33" t="str">
        <f aca="false">IF('Master Plan'!L61="","",'Master Plan'!L61)</f>
        <v>No dates</v>
      </c>
      <c r="J11" s="34" t="str">
        <f aca="false">IF('Master Plan'!M61="","",'Master Plan'!M61)</f>
        <v/>
      </c>
      <c r="K11" s="34" t="str">
        <f aca="false">IF('Master Plan'!P61="","",'Master Plan'!P61)</f>
        <v>Project Plan</v>
      </c>
    </row>
    <row r="12" customFormat="false" ht="15" hidden="false" customHeight="false" outlineLevel="0" collapsed="false">
      <c r="A12" s="33" t="str">
        <f aca="false">IF('Master Plan'!A62="","",'Master Plan'!A62)</f>
        <v>T-058</v>
      </c>
      <c r="B12" s="34" t="str">
        <f aca="false">IF('Master Plan'!C62="","",'Master Plan'!C62)</f>
        <v>Scope Section</v>
      </c>
      <c r="C12" s="34" t="str">
        <f aca="false">IF('Master Plan'!D62="","",'Master Plan'!D62)</f>
        <v>LLM generation for Scope paragraph (from Program, Component, Loads)</v>
      </c>
      <c r="D12" s="34" t="str">
        <f aca="false">IF('Master Plan'!E62="","",'Master Plan'!E62)</f>
        <v>Unassigned</v>
      </c>
      <c r="E12" s="35" t="str">
        <f aca="false">IF('Master Plan'!F62="","",'Master Plan'!F62)</f>
        <v/>
      </c>
      <c r="F12" s="35" t="str">
        <f aca="false">IF('Master Plan'!G62="","",'Master Plan'!G62)</f>
        <v/>
      </c>
      <c r="G12" s="36" t="n">
        <f aca="false">IF('Master Plan'!I62="","",'Master Plan'!I62)</f>
        <v>0</v>
      </c>
      <c r="H12" s="33" t="str">
        <f aca="false">IF('Master Plan'!K62="","",'Master Plan'!K62)</f>
        <v>Not Started</v>
      </c>
      <c r="I12" s="33" t="str">
        <f aca="false">IF('Master Plan'!L62="","",'Master Plan'!L62)</f>
        <v>No dates</v>
      </c>
      <c r="J12" s="34" t="str">
        <f aca="false">IF('Master Plan'!M62="","",'Master Plan'!M62)</f>
        <v>UI to capture Program, Component, Loads</v>
      </c>
      <c r="K12" s="34" t="str">
        <f aca="false">IF('Master Plan'!P62="","",'Master Plan'!P62)</f>
        <v>Proposed</v>
      </c>
    </row>
    <row r="13" customFormat="false" ht="23.85" hidden="false" customHeight="false" outlineLevel="0" collapsed="false">
      <c r="A13" s="33" t="str">
        <f aca="false">IF('Master Plan'!A63="","",'Master Plan'!A63)</f>
        <v>T-059</v>
      </c>
      <c r="B13" s="34" t="str">
        <f aca="false">IF('Master Plan'!C63="","",'Master Plan'!C63)</f>
        <v>FEM Description</v>
      </c>
      <c r="C13" s="34" t="str">
        <f aca="false">IF('Master Plan'!D63="","",'Master Plan'!D63)</f>
        <v>LLM generation for FEM Description (single paragraph from BDF/DAT attributes)</v>
      </c>
      <c r="D13" s="34" t="str">
        <f aca="false">IF('Master Plan'!E63="","",'Master Plan'!E63)</f>
        <v>Unassigned</v>
      </c>
      <c r="E13" s="35" t="str">
        <f aca="false">IF('Master Plan'!F63="","",'Master Plan'!F63)</f>
        <v/>
      </c>
      <c r="F13" s="35" t="str">
        <f aca="false">IF('Master Plan'!G63="","",'Master Plan'!G63)</f>
        <v/>
      </c>
      <c r="G13" s="36" t="n">
        <f aca="false">IF('Master Plan'!I63="","",'Master Plan'!I63)</f>
        <v>0</v>
      </c>
      <c r="H13" s="33" t="str">
        <f aca="false">IF('Master Plan'!K63="","",'Master Plan'!K63)</f>
        <v>Not Started</v>
      </c>
      <c r="I13" s="33" t="str">
        <f aca="false">IF('Master Plan'!L63="","",'Master Plan'!L63)</f>
        <v>No dates</v>
      </c>
      <c r="J13" s="34" t="str">
        <f aca="false">IF('Master Plan'!M63="","",'Master Plan'!M63)</f>
        <v>Automation to parse BDF/DAT</v>
      </c>
      <c r="K13" s="34" t="str">
        <f aca="false">IF('Master Plan'!P63="","",'Master Plan'!P63)</f>
        <v>Proposed</v>
      </c>
    </row>
    <row r="14" customFormat="false" ht="15" hidden="false" customHeight="false" outlineLevel="0" collapsed="false">
      <c r="A14" s="33" t="str">
        <f aca="false">IF('Master Plan'!A64="","",'Master Plan'!A64)</f>
        <v>T-060</v>
      </c>
      <c r="B14" s="34" t="str">
        <f aca="false">IF('Master Plan'!C64="","",'Master Plan'!C64)</f>
        <v>Materials (Metallic) Section</v>
      </c>
      <c r="C14" s="34" t="str">
        <f aca="false">IF('Master Plan'!D64="","",'Master Plan'!D64)</f>
        <v>LLM generation for Materials section</v>
      </c>
      <c r="D14" s="34" t="str">
        <f aca="false">IF('Master Plan'!E64="","",'Master Plan'!E64)</f>
        <v>Unassigned</v>
      </c>
      <c r="E14" s="35" t="str">
        <f aca="false">IF('Master Plan'!F64="","",'Master Plan'!F64)</f>
        <v/>
      </c>
      <c r="F14" s="35" t="str">
        <f aca="false">IF('Master Plan'!G64="","",'Master Plan'!G64)</f>
        <v/>
      </c>
      <c r="G14" s="36" t="n">
        <f aca="false">IF('Master Plan'!I64="","",'Master Plan'!I64)</f>
        <v>0</v>
      </c>
      <c r="H14" s="33" t="str">
        <f aca="false">IF('Master Plan'!K64="","",'Master Plan'!K64)</f>
        <v>Blocked</v>
      </c>
      <c r="I14" s="33" t="str">
        <f aca="false">IF('Master Plan'!L64="","",'Master Plan'!L64)</f>
        <v>Blocked</v>
      </c>
      <c r="J14" s="34" t="str">
        <f aca="false">IF('Master Plan'!M64="","",'Master Plan'!M64)</f>
        <v>ASG Team to confirm if BOMSTR or Drawing PDF?</v>
      </c>
      <c r="K14" s="34" t="str">
        <f aca="false">IF('Master Plan'!P64="","",'Master Plan'!P64)</f>
        <v>Proposed</v>
      </c>
    </row>
  </sheetData>
  <autoFilter ref="A4:K14"/>
  <conditionalFormatting sqref="H5:H14">
    <cfRule type="cellIs" priority="2" operator="equal" aboveAverage="0" equalAverage="0" bottom="0" percent="0" rank="0" text="" dxfId="15">
      <formula>"Complete"</formula>
    </cfRule>
    <cfRule type="cellIs" priority="3" operator="equal" aboveAverage="0" equalAverage="0" bottom="0" percent="0" rank="0" text="" dxfId="16">
      <formula>"In Progress"</formula>
    </cfRule>
    <cfRule type="cellIs" priority="4" operator="equal" aboveAverage="0" equalAverage="0" bottom="0" percent="0" rank="0" text="" dxfId="17">
      <formula>"Blocked"</formula>
    </cfRule>
    <cfRule type="cellIs" priority="5" operator="equal" aboveAverage="0" equalAverage="0" bottom="0" percent="0" rank="0" text="" dxfId="18">
      <formula>"Not Started"</formula>
    </cfRule>
    <cfRule type="cellIs" priority="6" operator="equal" aboveAverage="0" equalAverage="0" bottom="0" percent="0" rank="0" text="" dxfId="19">
      <formula>"OVERDUE"</formula>
    </cfRule>
    <cfRule type="cellIs" priority="7" operator="equal" aboveAverage="0" equalAverage="0" bottom="0" percent="0" rank="0" text="" dxfId="20">
      <formula>"Due in 7 days"</formula>
    </cfRule>
    <cfRule type="cellIs" priority="8" operator="equal" aboveAverage="0" equalAverage="0" bottom="0" percent="0" rank="0" text="" dxfId="15">
      <formula>"On track"</formula>
    </cfRule>
    <cfRule type="cellIs" priority="9" operator="equal" aboveAverage="0" equalAverage="0" bottom="0" percent="0" rank="0" text="" dxfId="15">
      <formula>"Done"</formula>
    </cfRule>
  </conditionalFormatting>
  <conditionalFormatting sqref="I5:I14">
    <cfRule type="cellIs" priority="10" operator="equal" aboveAverage="0" equalAverage="0" bottom="0" percent="0" rank="0" text="" dxfId="15">
      <formula>"Complete"</formula>
    </cfRule>
    <cfRule type="cellIs" priority="11" operator="equal" aboveAverage="0" equalAverage="0" bottom="0" percent="0" rank="0" text="" dxfId="16">
      <formula>"In Progress"</formula>
    </cfRule>
    <cfRule type="cellIs" priority="12" operator="equal" aboveAverage="0" equalAverage="0" bottom="0" percent="0" rank="0" text="" dxfId="17">
      <formula>"Blocked"</formula>
    </cfRule>
    <cfRule type="cellIs" priority="13" operator="equal" aboveAverage="0" equalAverage="0" bottom="0" percent="0" rank="0" text="" dxfId="18">
      <formula>"Not Started"</formula>
    </cfRule>
    <cfRule type="cellIs" priority="14" operator="equal" aboveAverage="0" equalAverage="0" bottom="0" percent="0" rank="0" text="" dxfId="19">
      <formula>"OVERDUE"</formula>
    </cfRule>
    <cfRule type="cellIs" priority="15" operator="equal" aboveAverage="0" equalAverage="0" bottom="0" percent="0" rank="0" text="" dxfId="20">
      <formula>"Due in 7 days"</formula>
    </cfRule>
    <cfRule type="cellIs" priority="16" operator="equal" aboveAverage="0" equalAverage="0" bottom="0" percent="0" rank="0" text="" dxfId="15">
      <formula>"On track"</formula>
    </cfRule>
    <cfRule type="cellIs" priority="17" operator="equal" aboveAverage="0" equalAverage="0" bottom="0" percent="0" rank="0" text="" dxfId="15">
      <formula>"Done"</formula>
    </cfRule>
  </conditionalFormatting>
  <conditionalFormatting sqref="G5:G14">
    <cfRule type="dataBar" priority="18">
      <dataBar showValue="1" minLength="10" maxLength="90">
        <cfvo type="num" val="0"/>
        <cfvo type="num" val="1"/>
        <color rgb="FF63BE7B"/>
      </dataBar>
      <extLst>
        <ext xmlns:x14="http://schemas.microsoft.com/office/spreadsheetml/2009/9/main" uri="{B025F937-C7B1-47D3-B67F-A62EFF666E3E}">
          <x14:id>{23206D6A-9E3A-4FA0-8F2E-CA7DBD849C1F}</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3206D6A-9E3A-4FA0-8F2E-CA7DBD849C1F}">
            <x14:dataBar minLength="10" maxLength="90" axisPosition="none" gradient="true">
              <x14:cfvo type="num">
                <xm:f>0</xm:f>
              </x14:cfvo>
              <x14:cfvo type="num">
                <xm:f>1</xm:f>
              </x14:cfvo>
              <x14:negativeFillColor rgb="FF63BE7B"/>
              <x14:axisColor rgb="FF000000"/>
            </x14:dataBar>
          </x14:cfRule>
          <xm:sqref>G5:G14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60"/>
    <col collapsed="false" customWidth="true" hidden="false" outlineLevel="0" max="4" min="4" style="0" width="16"/>
    <col collapsed="false" customWidth="true" hidden="false" outlineLevel="0" max="6" min="5" style="0" width="13"/>
    <col collapsed="false" customWidth="true" hidden="false" outlineLevel="0" max="7" min="7" style="0" width="10"/>
    <col collapsed="false" customWidth="true" hidden="false" outlineLevel="0" max="8" min="8" style="0" width="12"/>
    <col collapsed="false" customWidth="true" hidden="false" outlineLevel="0" max="9" min="9" style="0" width="15"/>
    <col collapsed="false" customWidth="true" hidden="false" outlineLevel="0" max="10" min="10" style="0" width="50"/>
    <col collapsed="false" customWidth="true" hidden="false" outlineLevel="0" max="11" min="11" style="0" width="13"/>
  </cols>
  <sheetData>
    <row r="1" customFormat="false" ht="17.35" hidden="false" customHeight="false" outlineLevel="0" collapsed="false">
      <c r="A1" s="1" t="s">
        <v>258</v>
      </c>
      <c r="F1" s="31" t="s">
        <v>252</v>
      </c>
      <c r="G1" s="2" t="n">
        <f aca="false">COUNTIF('Master Plan'!$B$5:$B$73,"Testing &amp; Release")</f>
        <v>9</v>
      </c>
      <c r="H1" s="31" t="s">
        <v>253</v>
      </c>
      <c r="I1" s="32" t="n">
        <f aca="false">IFERROR(AVERAGEIFS('Master Plan'!$I$5:$I$73,'Master Plan'!$B$5:$B$73,"Testing &amp; Release"),0)</f>
        <v>0</v>
      </c>
    </row>
    <row r="2" customFormat="false" ht="15" hidden="false" customHeight="false" outlineLevel="0" collapsed="false">
      <c r="A2" s="4" t="s">
        <v>254</v>
      </c>
    </row>
    <row r="4" customFormat="false" ht="30" hidden="false" customHeight="true" outlineLevel="0" collapsed="false">
      <c r="A4" s="5" t="s">
        <v>37</v>
      </c>
      <c r="B4" s="5" t="s">
        <v>38</v>
      </c>
      <c r="C4" s="5" t="s">
        <v>39</v>
      </c>
      <c r="D4" s="5" t="s">
        <v>18</v>
      </c>
      <c r="E4" s="5" t="s">
        <v>40</v>
      </c>
      <c r="F4" s="5" t="s">
        <v>41</v>
      </c>
      <c r="G4" s="5" t="s">
        <v>43</v>
      </c>
      <c r="H4" s="5" t="s">
        <v>45</v>
      </c>
      <c r="I4" s="5" t="s">
        <v>46</v>
      </c>
      <c r="J4" s="5" t="s">
        <v>47</v>
      </c>
      <c r="K4" s="5" t="s">
        <v>50</v>
      </c>
    </row>
    <row r="5" customFormat="false" ht="23.85" hidden="false" customHeight="false" outlineLevel="0" collapsed="false">
      <c r="A5" s="33" t="str">
        <f aca="false">IF('Master Plan'!A65="","",'Master Plan'!A65)</f>
        <v>T-061</v>
      </c>
      <c r="B5" s="34" t="str">
        <f aca="false">IF('Master Plan'!C65="","",'Master Plan'!C65)</f>
        <v>Fan Cowl AR - Release &amp; Testing</v>
      </c>
      <c r="C5" s="34" t="str">
        <f aca="false">IF('Master Plan'!D65="","",'Master Plan'!D65)</f>
        <v>Deployment of code to pre-prod server</v>
      </c>
      <c r="D5" s="34" t="str">
        <f aca="false">IF('Master Plan'!E65="","",'Master Plan'!E65)</f>
        <v>Srujan, Rajesh, Abhik</v>
      </c>
      <c r="E5" s="35" t="n">
        <f aca="false">IF('Master Plan'!F65="","",'Master Plan'!F65)</f>
        <v>46304</v>
      </c>
      <c r="F5" s="35" t="n">
        <f aca="false">IF('Master Plan'!G65="","",'Master Plan'!G65)</f>
        <v>46358</v>
      </c>
      <c r="G5" s="36" t="n">
        <f aca="false">IF('Master Plan'!I65="","",'Master Plan'!I65)</f>
        <v>0</v>
      </c>
      <c r="H5" s="33" t="str">
        <f aca="false">IF('Master Plan'!K65="","",'Master Plan'!K65)</f>
        <v>Not Started</v>
      </c>
      <c r="I5" s="33" t="str">
        <f aca="false">IF('Master Plan'!L65="","",'Master Plan'!L65)</f>
        <v>On track</v>
      </c>
      <c r="J5" s="34" t="str">
        <f aca="false">IF('Master Plan'!M65="","",'Master Plan'!M65)</f>
        <v/>
      </c>
      <c r="K5" s="34" t="str">
        <f aca="false">IF('Master Plan'!P65="","",'Master Plan'!P65)</f>
        <v>Project Plan</v>
      </c>
    </row>
    <row r="6" customFormat="false" ht="23.85" hidden="false" customHeight="false" outlineLevel="0" collapsed="false">
      <c r="A6" s="33" t="str">
        <f aca="false">IF('Master Plan'!A66="","",'Master Plan'!A66)</f>
        <v>T-062</v>
      </c>
      <c r="B6" s="34" t="str">
        <f aca="false">IF('Master Plan'!C66="","",'Master Plan'!C66)</f>
        <v>Fan Cowl AR - Release &amp; Testing</v>
      </c>
      <c r="C6" s="34" t="str">
        <f aca="false">IF('Master Plan'!D66="","",'Master Plan'!D66)</f>
        <v>Unit testing</v>
      </c>
      <c r="D6" s="34" t="str">
        <f aca="false">IF('Master Plan'!E66="","",'Master Plan'!E66)</f>
        <v>Srujan, Rajesh, Abhik</v>
      </c>
      <c r="E6" s="35" t="n">
        <f aca="false">IF('Master Plan'!F66="","",'Master Plan'!F66)</f>
        <v>46304</v>
      </c>
      <c r="F6" s="35" t="n">
        <f aca="false">IF('Master Plan'!G66="","",'Master Plan'!G66)</f>
        <v>46358</v>
      </c>
      <c r="G6" s="36" t="n">
        <f aca="false">IF('Master Plan'!I66="","",'Master Plan'!I66)</f>
        <v>0</v>
      </c>
      <c r="H6" s="33" t="str">
        <f aca="false">IF('Master Plan'!K66="","",'Master Plan'!K66)</f>
        <v>Not Started</v>
      </c>
      <c r="I6" s="33" t="str">
        <f aca="false">IF('Master Plan'!L66="","",'Master Plan'!L66)</f>
        <v>On track</v>
      </c>
      <c r="J6" s="34" t="str">
        <f aca="false">IF('Master Plan'!M66="","",'Master Plan'!M66)</f>
        <v/>
      </c>
      <c r="K6" s="34" t="str">
        <f aca="false">IF('Master Plan'!P66="","",'Master Plan'!P66)</f>
        <v>Project Plan</v>
      </c>
    </row>
    <row r="7" customFormat="false" ht="23.85" hidden="false" customHeight="false" outlineLevel="0" collapsed="false">
      <c r="A7" s="33" t="str">
        <f aca="false">IF('Master Plan'!A67="","",'Master Plan'!A67)</f>
        <v>T-063</v>
      </c>
      <c r="B7" s="34" t="str">
        <f aca="false">IF('Master Plan'!C67="","",'Master Plan'!C67)</f>
        <v>Fan Cowl AR - Release &amp; Testing</v>
      </c>
      <c r="C7" s="34" t="str">
        <f aca="false">IF('Master Plan'!D67="","",'Master Plan'!D67)</f>
        <v>CI/CD pipeline</v>
      </c>
      <c r="D7" s="34" t="str">
        <f aca="false">IF('Master Plan'!E67="","",'Master Plan'!E67)</f>
        <v>Srujan, Rajesh, Abhik</v>
      </c>
      <c r="E7" s="35" t="n">
        <f aca="false">IF('Master Plan'!F67="","",'Master Plan'!F67)</f>
        <v>46304</v>
      </c>
      <c r="F7" s="35" t="n">
        <f aca="false">IF('Master Plan'!G67="","",'Master Plan'!G67)</f>
        <v>46358</v>
      </c>
      <c r="G7" s="36" t="n">
        <f aca="false">IF('Master Plan'!I67="","",'Master Plan'!I67)</f>
        <v>0</v>
      </c>
      <c r="H7" s="33" t="str">
        <f aca="false">IF('Master Plan'!K67="","",'Master Plan'!K67)</f>
        <v>Not Started</v>
      </c>
      <c r="I7" s="33" t="str">
        <f aca="false">IF('Master Plan'!L67="","",'Master Plan'!L67)</f>
        <v>On track</v>
      </c>
      <c r="J7" s="34" t="str">
        <f aca="false">IF('Master Plan'!M67="","",'Master Plan'!M67)</f>
        <v/>
      </c>
      <c r="K7" s="34" t="str">
        <f aca="false">IF('Master Plan'!P67="","",'Master Plan'!P67)</f>
        <v>Project Plan</v>
      </c>
    </row>
    <row r="8" customFormat="false" ht="23.85" hidden="false" customHeight="false" outlineLevel="0" collapsed="false">
      <c r="A8" s="33" t="str">
        <f aca="false">IF('Master Plan'!A68="","",'Master Plan'!A68)</f>
        <v>T-064</v>
      </c>
      <c r="B8" s="34" t="str">
        <f aca="false">IF('Master Plan'!C68="","",'Master Plan'!C68)</f>
        <v>Fan Cowl AR - Release &amp; Testing</v>
      </c>
      <c r="C8" s="34" t="str">
        <f aca="false">IF('Master Plan'!D68="","",'Master Plan'!D68)</f>
        <v>Documentation</v>
      </c>
      <c r="D8" s="34" t="str">
        <f aca="false">IF('Master Plan'!E68="","",'Master Plan'!E68)</f>
        <v>Srujan, Rajesh, Abhik</v>
      </c>
      <c r="E8" s="35" t="n">
        <f aca="false">IF('Master Plan'!F68="","",'Master Plan'!F68)</f>
        <v>46304</v>
      </c>
      <c r="F8" s="35" t="n">
        <f aca="false">IF('Master Plan'!G68="","",'Master Plan'!G68)</f>
        <v>46358</v>
      </c>
      <c r="G8" s="36" t="n">
        <f aca="false">IF('Master Plan'!I68="","",'Master Plan'!I68)</f>
        <v>0</v>
      </c>
      <c r="H8" s="33" t="str">
        <f aca="false">IF('Master Plan'!K68="","",'Master Plan'!K68)</f>
        <v>Not Started</v>
      </c>
      <c r="I8" s="33" t="str">
        <f aca="false">IF('Master Plan'!L68="","",'Master Plan'!L68)</f>
        <v>On track</v>
      </c>
      <c r="J8" s="34" t="str">
        <f aca="false">IF('Master Plan'!M68="","",'Master Plan'!M68)</f>
        <v/>
      </c>
      <c r="K8" s="34" t="str">
        <f aca="false">IF('Master Plan'!P68="","",'Master Plan'!P68)</f>
        <v>Project Plan</v>
      </c>
    </row>
    <row r="9" customFormat="false" ht="23.85" hidden="false" customHeight="false" outlineLevel="0" collapsed="false">
      <c r="A9" s="33" t="str">
        <f aca="false">IF('Master Plan'!A69="","",'Master Plan'!A69)</f>
        <v>T-065</v>
      </c>
      <c r="B9" s="34" t="str">
        <f aca="false">IF('Master Plan'!C69="","",'Master Plan'!C69)</f>
        <v>Fan Cowl AR - Release &amp; Testing</v>
      </c>
      <c r="C9" s="34" t="str">
        <f aca="false">IF('Master Plan'!D69="","",'Master Plan'!D69)</f>
        <v>Monitoring and Dashboard</v>
      </c>
      <c r="D9" s="34" t="str">
        <f aca="false">IF('Master Plan'!E69="","",'Master Plan'!E69)</f>
        <v>Srujan, Rajesh, Abhik</v>
      </c>
      <c r="E9" s="35" t="n">
        <f aca="false">IF('Master Plan'!F69="","",'Master Plan'!F69)</f>
        <v>46304</v>
      </c>
      <c r="F9" s="35" t="n">
        <f aca="false">IF('Master Plan'!G69="","",'Master Plan'!G69)</f>
        <v>46358</v>
      </c>
      <c r="G9" s="36" t="n">
        <f aca="false">IF('Master Plan'!I69="","",'Master Plan'!I69)</f>
        <v>0</v>
      </c>
      <c r="H9" s="33" t="str">
        <f aca="false">IF('Master Plan'!K69="","",'Master Plan'!K69)</f>
        <v>Not Started</v>
      </c>
      <c r="I9" s="33" t="str">
        <f aca="false">IF('Master Plan'!L69="","",'Master Plan'!L69)</f>
        <v>On track</v>
      </c>
      <c r="J9" s="34" t="str">
        <f aca="false">IF('Master Plan'!M69="","",'Master Plan'!M69)</f>
        <v/>
      </c>
      <c r="K9" s="34" t="str">
        <f aca="false">IF('Master Plan'!P69="","",'Master Plan'!P69)</f>
        <v>Project Plan</v>
      </c>
    </row>
    <row r="10" customFormat="false" ht="23.85" hidden="false" customHeight="false" outlineLevel="0" collapsed="false">
      <c r="A10" s="33" t="str">
        <f aca="false">IF('Master Plan'!A70="","",'Master Plan'!A70)</f>
        <v>T-066</v>
      </c>
      <c r="B10" s="34" t="str">
        <f aca="false">IF('Master Plan'!C70="","",'Master Plan'!C70)</f>
        <v>Fan Cowl AR - Release &amp; Testing</v>
      </c>
      <c r="C10" s="34" t="str">
        <f aca="false">IF('Master Plan'!D70="","",'Master Plan'!D70)</f>
        <v>Integration testing</v>
      </c>
      <c r="D10" s="34" t="str">
        <f aca="false">IF('Master Plan'!E70="","",'Master Plan'!E70)</f>
        <v>Srujan, Rajesh, Abhik</v>
      </c>
      <c r="E10" s="35" t="n">
        <f aca="false">IF('Master Plan'!F70="","",'Master Plan'!F70)</f>
        <v>46304</v>
      </c>
      <c r="F10" s="35" t="n">
        <f aca="false">IF('Master Plan'!G70="","",'Master Plan'!G70)</f>
        <v>46358</v>
      </c>
      <c r="G10" s="36" t="n">
        <f aca="false">IF('Master Plan'!I70="","",'Master Plan'!I70)</f>
        <v>0</v>
      </c>
      <c r="H10" s="33" t="str">
        <f aca="false">IF('Master Plan'!K70="","",'Master Plan'!K70)</f>
        <v>Not Started</v>
      </c>
      <c r="I10" s="33" t="str">
        <f aca="false">IF('Master Plan'!L70="","",'Master Plan'!L70)</f>
        <v>On track</v>
      </c>
      <c r="J10" s="34" t="str">
        <f aca="false">IF('Master Plan'!M70="","",'Master Plan'!M70)</f>
        <v/>
      </c>
      <c r="K10" s="34" t="str">
        <f aca="false">IF('Master Plan'!P70="","",'Master Plan'!P70)</f>
        <v>Project Plan</v>
      </c>
    </row>
    <row r="11" customFormat="false" ht="23.85" hidden="false" customHeight="false" outlineLevel="0" collapsed="false">
      <c r="A11" s="33" t="str">
        <f aca="false">IF('Master Plan'!A71="","",'Master Plan'!A71)</f>
        <v>T-067</v>
      </c>
      <c r="B11" s="34" t="str">
        <f aca="false">IF('Master Plan'!C71="","",'Master Plan'!C71)</f>
        <v>Fan Cowl AR - Release &amp; Testing</v>
      </c>
      <c r="C11" s="34" t="str">
        <f aca="false">IF('Master Plan'!D71="","",'Master Plan'!D71)</f>
        <v>Testing end-to-end program</v>
      </c>
      <c r="D11" s="34" t="str">
        <f aca="false">IF('Master Plan'!E71="","",'Master Plan'!E71)</f>
        <v>Srujan, Rajesh, Abhik</v>
      </c>
      <c r="E11" s="35" t="n">
        <f aca="false">IF('Master Plan'!F71="","",'Master Plan'!F71)</f>
        <v>46304</v>
      </c>
      <c r="F11" s="35" t="n">
        <f aca="false">IF('Master Plan'!G71="","",'Master Plan'!G71)</f>
        <v>46358</v>
      </c>
      <c r="G11" s="36" t="n">
        <f aca="false">IF('Master Plan'!I71="","",'Master Plan'!I71)</f>
        <v>0</v>
      </c>
      <c r="H11" s="33" t="str">
        <f aca="false">IF('Master Plan'!K71="","",'Master Plan'!K71)</f>
        <v>Not Started</v>
      </c>
      <c r="I11" s="33" t="str">
        <f aca="false">IF('Master Plan'!L71="","",'Master Plan'!L71)</f>
        <v>On track</v>
      </c>
      <c r="J11" s="34" t="str">
        <f aca="false">IF('Master Plan'!M71="","",'Master Plan'!M71)</f>
        <v/>
      </c>
      <c r="K11" s="34" t="str">
        <f aca="false">IF('Master Plan'!P71="","",'Master Plan'!P71)</f>
        <v>Project Plan</v>
      </c>
    </row>
    <row r="12" customFormat="false" ht="15" hidden="false" customHeight="false" outlineLevel="0" collapsed="false">
      <c r="A12" s="33" t="str">
        <f aca="false">IF('Master Plan'!A72="","",'Master Plan'!A72)</f>
        <v>T-068</v>
      </c>
      <c r="B12" s="34" t="str">
        <f aca="false">IF('Master Plan'!C72="","",'Master Plan'!C72)</f>
        <v>Environment &amp; RAG Setup</v>
      </c>
      <c r="C12" s="34" t="str">
        <f aca="false">IF('Master Plan'!D72="","",'Master Plan'!D72)</f>
        <v>Environment setup</v>
      </c>
      <c r="D12" s="34" t="str">
        <f aca="false">IF('Master Plan'!E72="","",'Master Plan'!E72)</f>
        <v>Unassigned</v>
      </c>
      <c r="E12" s="35" t="str">
        <f aca="false">IF('Master Plan'!F72="","",'Master Plan'!F72)</f>
        <v/>
      </c>
      <c r="F12" s="35" t="str">
        <f aca="false">IF('Master Plan'!G72="","",'Master Plan'!G72)</f>
        <v/>
      </c>
      <c r="G12" s="36" t="n">
        <f aca="false">IF('Master Plan'!I72="","",'Master Plan'!I72)</f>
        <v>0</v>
      </c>
      <c r="H12" s="33" t="str">
        <f aca="false">IF('Master Plan'!K72="","",'Master Plan'!K72)</f>
        <v>Not Started</v>
      </c>
      <c r="I12" s="33" t="str">
        <f aca="false">IF('Master Plan'!L72="","",'Master Plan'!L72)</f>
        <v>No dates</v>
      </c>
      <c r="J12" s="34" t="str">
        <f aca="false">IF('Master Plan'!M72="","",'Master Plan'!M72)</f>
        <v/>
      </c>
      <c r="K12" s="34" t="str">
        <f aca="false">IF('Master Plan'!P72="","",'Master Plan'!P72)</f>
        <v>Project Plan</v>
      </c>
    </row>
    <row r="13" customFormat="false" ht="15" hidden="false" customHeight="false" outlineLevel="0" collapsed="false">
      <c r="A13" s="33" t="str">
        <f aca="false">IF('Master Plan'!A73="","",'Master Plan'!A73)</f>
        <v>T-069</v>
      </c>
      <c r="B13" s="34" t="str">
        <f aca="false">IF('Master Plan'!C73="","",'Master Plan'!C73)</f>
        <v>Fan Cowl AR - Release &amp; Testing</v>
      </c>
      <c r="C13" s="34" t="str">
        <f aca="false">IF('Master Plan'!D73="","",'Master Plan'!D73)</f>
        <v>Validate generated report for all 17 Fan Cowl components</v>
      </c>
      <c r="D13" s="34" t="str">
        <f aca="false">IF('Master Plan'!E73="","",'Master Plan'!E73)</f>
        <v>Unassigned</v>
      </c>
      <c r="E13" s="35" t="str">
        <f aca="false">IF('Master Plan'!F73="","",'Master Plan'!F73)</f>
        <v/>
      </c>
      <c r="F13" s="35" t="str">
        <f aca="false">IF('Master Plan'!G73="","",'Master Plan'!G73)</f>
        <v/>
      </c>
      <c r="G13" s="36" t="n">
        <f aca="false">IF('Master Plan'!I73="","",'Master Plan'!I73)</f>
        <v>0</v>
      </c>
      <c r="H13" s="33" t="str">
        <f aca="false">IF('Master Plan'!K73="","",'Master Plan'!K73)</f>
        <v>Not Started</v>
      </c>
      <c r="I13" s="33" t="str">
        <f aca="false">IF('Master Plan'!L73="","",'Master Plan'!L73)</f>
        <v>No dates</v>
      </c>
      <c r="J13" s="34" t="str">
        <f aca="false">IF('Master Plan'!M73="","",'Master Plan'!M73)</f>
        <v/>
      </c>
      <c r="K13" s="34" t="str">
        <f aca="false">IF('Master Plan'!P73="","",'Master Plan'!P73)</f>
        <v>Proposed</v>
      </c>
    </row>
  </sheetData>
  <autoFilter ref="A4:K13"/>
  <conditionalFormatting sqref="H5:H13">
    <cfRule type="cellIs" priority="2" operator="equal" aboveAverage="0" equalAverage="0" bottom="0" percent="0" rank="0" text="" dxfId="15">
      <formula>"Complete"</formula>
    </cfRule>
    <cfRule type="cellIs" priority="3" operator="equal" aboveAverage="0" equalAverage="0" bottom="0" percent="0" rank="0" text="" dxfId="16">
      <formula>"In Progress"</formula>
    </cfRule>
    <cfRule type="cellIs" priority="4" operator="equal" aboveAverage="0" equalAverage="0" bottom="0" percent="0" rank="0" text="" dxfId="17">
      <formula>"Blocked"</formula>
    </cfRule>
    <cfRule type="cellIs" priority="5" operator="equal" aboveAverage="0" equalAverage="0" bottom="0" percent="0" rank="0" text="" dxfId="18">
      <formula>"Not Started"</formula>
    </cfRule>
    <cfRule type="cellIs" priority="6" operator="equal" aboveAverage="0" equalAverage="0" bottom="0" percent="0" rank="0" text="" dxfId="19">
      <formula>"OVERDUE"</formula>
    </cfRule>
    <cfRule type="cellIs" priority="7" operator="equal" aboveAverage="0" equalAverage="0" bottom="0" percent="0" rank="0" text="" dxfId="20">
      <formula>"Due in 7 days"</formula>
    </cfRule>
    <cfRule type="cellIs" priority="8" operator="equal" aboveAverage="0" equalAverage="0" bottom="0" percent="0" rank="0" text="" dxfId="15">
      <formula>"On track"</formula>
    </cfRule>
    <cfRule type="cellIs" priority="9" operator="equal" aboveAverage="0" equalAverage="0" bottom="0" percent="0" rank="0" text="" dxfId="15">
      <formula>"Done"</formula>
    </cfRule>
  </conditionalFormatting>
  <conditionalFormatting sqref="I5:I13">
    <cfRule type="cellIs" priority="10" operator="equal" aboveAverage="0" equalAverage="0" bottom="0" percent="0" rank="0" text="" dxfId="15">
      <formula>"Complete"</formula>
    </cfRule>
    <cfRule type="cellIs" priority="11" operator="equal" aboveAverage="0" equalAverage="0" bottom="0" percent="0" rank="0" text="" dxfId="16">
      <formula>"In Progress"</formula>
    </cfRule>
    <cfRule type="cellIs" priority="12" operator="equal" aboveAverage="0" equalAverage="0" bottom="0" percent="0" rank="0" text="" dxfId="17">
      <formula>"Blocked"</formula>
    </cfRule>
    <cfRule type="cellIs" priority="13" operator="equal" aboveAverage="0" equalAverage="0" bottom="0" percent="0" rank="0" text="" dxfId="18">
      <formula>"Not Started"</formula>
    </cfRule>
    <cfRule type="cellIs" priority="14" operator="equal" aboveAverage="0" equalAverage="0" bottom="0" percent="0" rank="0" text="" dxfId="19">
      <formula>"OVERDUE"</formula>
    </cfRule>
    <cfRule type="cellIs" priority="15" operator="equal" aboveAverage="0" equalAverage="0" bottom="0" percent="0" rank="0" text="" dxfId="20">
      <formula>"Due in 7 days"</formula>
    </cfRule>
    <cfRule type="cellIs" priority="16" operator="equal" aboveAverage="0" equalAverage="0" bottom="0" percent="0" rank="0" text="" dxfId="15">
      <formula>"On track"</formula>
    </cfRule>
    <cfRule type="cellIs" priority="17" operator="equal" aboveAverage="0" equalAverage="0" bottom="0" percent="0" rank="0" text="" dxfId="15">
      <formula>"Done"</formula>
    </cfRule>
  </conditionalFormatting>
  <conditionalFormatting sqref="G5:G13">
    <cfRule type="dataBar" priority="18">
      <dataBar showValue="1" minLength="10" maxLength="90">
        <cfvo type="num" val="0"/>
        <cfvo type="num" val="1"/>
        <color rgb="FF63BE7B"/>
      </dataBar>
      <extLst>
        <ext xmlns:x14="http://schemas.microsoft.com/office/spreadsheetml/2009/9/main" uri="{B025F937-C7B1-47D3-B67F-A62EFF666E3E}">
          <x14:id>{DE8AFF35-00FD-48E2-95AB-29296B30AE79}</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DE8AFF35-00FD-48E2-95AB-29296B30AE79}">
            <x14:dataBar minLength="10" maxLength="90" axisPosition="none" gradient="true">
              <x14:cfvo type="num">
                <xm:f>0</xm:f>
              </x14:cfvo>
              <x14:cfvo type="num">
                <xm:f>1</xm:f>
              </x14:cfvo>
              <x14:negativeFillColor rgb="FF63BE7B"/>
              <x14:axisColor rgb="FF000000"/>
            </x14:dataBar>
          </x14:cfRule>
          <xm:sqref>G5:G13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14"/>
    <col collapsed="false" customWidth="true" hidden="false" outlineLevel="0" max="4" min="4" style="0" width="10"/>
    <col collapsed="false" customWidth="true" hidden="false" outlineLevel="0" max="5" min="5" style="0" width="38"/>
    <col collapsed="false" customWidth="true" hidden="false" outlineLevel="0" max="6" min="6" style="0" width="70"/>
  </cols>
  <sheetData>
    <row r="1" customFormat="false" ht="17.35" hidden="false" customHeight="false" outlineLevel="0" collapsed="false">
      <c r="A1" s="1" t="s">
        <v>259</v>
      </c>
    </row>
    <row r="2" customFormat="false" ht="15" hidden="false" customHeight="false" outlineLevel="0" collapsed="false">
      <c r="A2" s="4" t="s">
        <v>260</v>
      </c>
    </row>
    <row r="4" customFormat="false" ht="30" hidden="false" customHeight="true" outlineLevel="0" collapsed="false">
      <c r="A4" s="5" t="s">
        <v>261</v>
      </c>
      <c r="B4" s="5" t="s">
        <v>47</v>
      </c>
      <c r="C4" s="5" t="s">
        <v>262</v>
      </c>
      <c r="D4" s="5" t="s">
        <v>263</v>
      </c>
      <c r="E4" s="5" t="s">
        <v>264</v>
      </c>
      <c r="F4" s="5" t="s">
        <v>265</v>
      </c>
    </row>
    <row r="5" customFormat="false" ht="23.85" hidden="false" customHeight="false" outlineLevel="0" collapsed="false">
      <c r="A5" s="19" t="n">
        <v>1</v>
      </c>
      <c r="B5" s="21" t="s">
        <v>89</v>
      </c>
      <c r="C5" s="21" t="s">
        <v>266</v>
      </c>
      <c r="D5" s="19" t="n">
        <f aca="false">COUNTIF('Master Plan'!$M$5:$M$73,B5)</f>
        <v>7</v>
      </c>
      <c r="E5" s="21" t="s">
        <v>267</v>
      </c>
      <c r="F5" s="21" t="s">
        <v>268</v>
      </c>
    </row>
    <row r="6" customFormat="false" ht="23.85" hidden="false" customHeight="false" outlineLevel="0" collapsed="false">
      <c r="A6" s="19" t="n">
        <v>2</v>
      </c>
      <c r="B6" s="21" t="s">
        <v>95</v>
      </c>
      <c r="C6" s="21" t="s">
        <v>266</v>
      </c>
      <c r="D6" s="19" t="n">
        <f aca="false">COUNTIF('Master Plan'!$M$5:$M$73,B6)</f>
        <v>2</v>
      </c>
      <c r="E6" s="21" t="s">
        <v>267</v>
      </c>
      <c r="F6" s="21" t="s">
        <v>269</v>
      </c>
    </row>
    <row r="7" customFormat="false" ht="23.85" hidden="false" customHeight="false" outlineLevel="0" collapsed="false">
      <c r="A7" s="19" t="n">
        <v>3</v>
      </c>
      <c r="B7" s="21" t="s">
        <v>102</v>
      </c>
      <c r="C7" s="21" t="s">
        <v>266</v>
      </c>
      <c r="D7" s="19" t="n">
        <f aca="false">COUNTIF('Master Plan'!$M$5:$M$73,B7)</f>
        <v>1</v>
      </c>
      <c r="E7" s="21" t="s">
        <v>270</v>
      </c>
      <c r="F7" s="21" t="s">
        <v>271</v>
      </c>
    </row>
    <row r="8" customFormat="false" ht="35.05" hidden="false" customHeight="false" outlineLevel="0" collapsed="false">
      <c r="A8" s="19" t="n">
        <v>4</v>
      </c>
      <c r="B8" s="21" t="s">
        <v>106</v>
      </c>
      <c r="C8" s="21" t="s">
        <v>266</v>
      </c>
      <c r="D8" s="19" t="n">
        <f aca="false">COUNTIF('Master Plan'!$M$5:$M$73,B8)</f>
        <v>3</v>
      </c>
      <c r="E8" s="21" t="s">
        <v>270</v>
      </c>
      <c r="F8" s="21" t="s">
        <v>272</v>
      </c>
    </row>
    <row r="9" customFormat="false" ht="23.85" hidden="false" customHeight="false" outlineLevel="0" collapsed="false">
      <c r="A9" s="19" t="n">
        <v>5</v>
      </c>
      <c r="B9" s="21" t="s">
        <v>116</v>
      </c>
      <c r="C9" s="21" t="s">
        <v>266</v>
      </c>
      <c r="D9" s="19" t="n">
        <f aca="false">COUNTIF('Master Plan'!$M$5:$M$73,B9)</f>
        <v>4</v>
      </c>
      <c r="E9" s="21" t="s">
        <v>273</v>
      </c>
      <c r="F9" s="21" t="s">
        <v>274</v>
      </c>
    </row>
    <row r="10" customFormat="false" ht="23.85" hidden="false" customHeight="false" outlineLevel="0" collapsed="false">
      <c r="A10" s="19" t="n">
        <v>6</v>
      </c>
      <c r="B10" s="21" t="s">
        <v>122</v>
      </c>
      <c r="C10" s="21" t="s">
        <v>266</v>
      </c>
      <c r="D10" s="19" t="n">
        <f aca="false">COUNTIF('Master Plan'!$M$5:$M$73,B10)</f>
        <v>3</v>
      </c>
      <c r="E10" s="21" t="s">
        <v>120</v>
      </c>
      <c r="F10" s="21" t="s">
        <v>275</v>
      </c>
    </row>
    <row r="11" customFormat="false" ht="23.85" hidden="false" customHeight="false" outlineLevel="0" collapsed="false">
      <c r="A11" s="19" t="n">
        <v>7</v>
      </c>
      <c r="B11" s="21" t="s">
        <v>131</v>
      </c>
      <c r="C11" s="21" t="s">
        <v>266</v>
      </c>
      <c r="D11" s="19" t="n">
        <f aca="false">COUNTIF('Master Plan'!$M$5:$M$73,B11)</f>
        <v>3</v>
      </c>
      <c r="E11" s="21" t="s">
        <v>129</v>
      </c>
      <c r="F11" s="21" t="s">
        <v>276</v>
      </c>
    </row>
    <row r="12" customFormat="false" ht="15" hidden="false" customHeight="false" outlineLevel="0" collapsed="false">
      <c r="A12" s="19" t="n">
        <v>8</v>
      </c>
      <c r="B12" s="21" t="s">
        <v>147</v>
      </c>
      <c r="C12" s="21" t="s">
        <v>266</v>
      </c>
      <c r="D12" s="19" t="n">
        <f aca="false">COUNTIF('Master Plan'!$M$5:$M$73,B12)</f>
        <v>2</v>
      </c>
      <c r="E12" s="21" t="s">
        <v>145</v>
      </c>
      <c r="F12" s="21" t="s">
        <v>277</v>
      </c>
    </row>
    <row r="13" customFormat="false" ht="23.85" hidden="false" customHeight="false" outlineLevel="0" collapsed="false">
      <c r="A13" s="19" t="n">
        <v>9</v>
      </c>
      <c r="B13" s="21" t="s">
        <v>176</v>
      </c>
      <c r="C13" s="21" t="s">
        <v>266</v>
      </c>
      <c r="D13" s="19" t="n">
        <f aca="false">COUNTIF('Master Plan'!$M$5:$M$73,B13)</f>
        <v>1</v>
      </c>
      <c r="E13" s="21" t="s">
        <v>68</v>
      </c>
      <c r="F13" s="21" t="s">
        <v>278</v>
      </c>
    </row>
    <row r="14" customFormat="false" ht="15" hidden="false" customHeight="false" outlineLevel="0" collapsed="false">
      <c r="A14" s="19" t="n">
        <v>10</v>
      </c>
      <c r="B14" s="21" t="s">
        <v>181</v>
      </c>
      <c r="C14" s="21" t="s">
        <v>266</v>
      </c>
      <c r="D14" s="19" t="n">
        <f aca="false">COUNTIF('Master Plan'!$M$5:$M$73,B14)</f>
        <v>1</v>
      </c>
      <c r="E14" s="21" t="s">
        <v>179</v>
      </c>
      <c r="F14" s="21" t="s">
        <v>279</v>
      </c>
    </row>
    <row r="15" customFormat="false" ht="15" hidden="false" customHeight="false" outlineLevel="0" collapsed="false">
      <c r="A15" s="37"/>
      <c r="B15" s="37"/>
      <c r="C15" s="13" t="s">
        <v>5</v>
      </c>
      <c r="D15" s="38" t="n">
        <f aca="false">SUM(D5:D14)</f>
        <v>27</v>
      </c>
      <c r="E15" s="37"/>
      <c r="F15" s="37"/>
    </row>
    <row r="16" customFormat="false" ht="15" hidden="false" customHeight="false" outlineLevel="0" collapsed="false">
      <c r="B16" s="4" t="s">
        <v>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10"/>
    <col collapsed="false" customWidth="true" hidden="false" outlineLevel="0" max="5" min="4" style="0" width="52"/>
    <col collapsed="false" customWidth="true" hidden="false" outlineLevel="0" max="6" min="6" style="0" width="44"/>
    <col collapsed="false" customWidth="true" hidden="false" outlineLevel="0" max="7" min="7" style="0" width="12"/>
    <col collapsed="false" customWidth="true" hidden="false" outlineLevel="0" max="8" min="8" style="0" width="26"/>
    <col collapsed="false" customWidth="true" hidden="false" outlineLevel="0" max="9" min="9" style="0" width="9"/>
    <col collapsed="false" customWidth="true" hidden="false" outlineLevel="0" max="11" min="10" style="0" width="10"/>
    <col collapsed="false" customWidth="true" hidden="false" outlineLevel="0" max="12" min="12" style="0" width="9"/>
    <col collapsed="false" customWidth="true" hidden="false" outlineLevel="0" max="13" min="13" style="0" width="16"/>
  </cols>
  <sheetData>
    <row r="1" customFormat="false" ht="17.35" hidden="false" customHeight="false" outlineLevel="0" collapsed="false">
      <c r="A1" s="1" t="s">
        <v>281</v>
      </c>
    </row>
    <row r="2" customFormat="false" ht="15" hidden="false" customHeight="false" outlineLevel="0" collapsed="false">
      <c r="A2" s="2" t="s">
        <v>282</v>
      </c>
      <c r="B2" s="39" t="s">
        <v>283</v>
      </c>
    </row>
    <row r="3" customFormat="false" ht="15" hidden="false" customHeight="false" outlineLevel="0" collapsed="false">
      <c r="A3" s="2" t="s">
        <v>284</v>
      </c>
      <c r="B3" s="39" t="s">
        <v>285</v>
      </c>
    </row>
    <row r="4" customFormat="false" ht="15" hidden="false" customHeight="false" outlineLevel="0" collapsed="false">
      <c r="A4" s="2" t="s">
        <v>286</v>
      </c>
      <c r="B4" s="40" t="n">
        <f aca="false">COUNTA(B8:B21)</f>
        <v>14</v>
      </c>
    </row>
    <row r="5" customFormat="false" ht="15" hidden="false" customHeight="false" outlineLevel="0" collapsed="false">
      <c r="A5" s="4" t="s">
        <v>287</v>
      </c>
    </row>
    <row r="7" customFormat="false" ht="30" hidden="false" customHeight="true" outlineLevel="0" collapsed="false">
      <c r="A7" s="5" t="s">
        <v>288</v>
      </c>
      <c r="B7" s="5" t="s">
        <v>289</v>
      </c>
      <c r="C7" s="5" t="s">
        <v>290</v>
      </c>
      <c r="D7" s="5" t="s">
        <v>291</v>
      </c>
      <c r="E7" s="5" t="s">
        <v>292</v>
      </c>
      <c r="F7" s="5" t="s">
        <v>293</v>
      </c>
      <c r="G7" s="5" t="s">
        <v>294</v>
      </c>
      <c r="H7" s="5" t="s">
        <v>295</v>
      </c>
      <c r="I7" s="5" t="s">
        <v>296</v>
      </c>
      <c r="J7" s="5" t="s">
        <v>257</v>
      </c>
      <c r="K7" s="5" t="s">
        <v>253</v>
      </c>
      <c r="L7" s="5" t="s">
        <v>263</v>
      </c>
      <c r="M7" s="5" t="s">
        <v>297</v>
      </c>
    </row>
    <row r="8" customFormat="false" ht="35.05" hidden="false" customHeight="false" outlineLevel="0" collapsed="false">
      <c r="A8" s="19" t="n">
        <v>8</v>
      </c>
      <c r="B8" s="41" t="s">
        <v>298</v>
      </c>
      <c r="C8" s="19" t="s">
        <v>54</v>
      </c>
      <c r="D8" s="21" t="s">
        <v>299</v>
      </c>
      <c r="E8" s="21" t="s">
        <v>300</v>
      </c>
      <c r="F8" s="21" t="s">
        <v>301</v>
      </c>
      <c r="G8" s="19" t="s">
        <v>88</v>
      </c>
      <c r="H8" s="21" t="s">
        <v>57</v>
      </c>
      <c r="I8" s="19" t="n">
        <f aca="false">COUNTIF('Master Plan'!$C$5:$C$73,H8)</f>
        <v>3</v>
      </c>
      <c r="J8" s="19" t="n">
        <f aca="false">COUNTIFS('Master Plan'!$C$5:$C$73,H8,'Master Plan'!$B$5:$B$73,"LLM &amp; RAG")</f>
        <v>0</v>
      </c>
      <c r="K8" s="42" t="n">
        <f aca="false">IFERROR(AVERAGEIFS('Master Plan'!$I$5:$I$73,'Master Plan'!$C$5:$C$73,H8),0)</f>
        <v>0.4</v>
      </c>
      <c r="L8" s="19" t="n">
        <f aca="false">COUNTIFS('Master Plan'!$C$5:$C$73,H8,'Master Plan'!$K$5:$K$73,"Blocked")</f>
        <v>0</v>
      </c>
      <c r="M8" s="19" t="str">
        <f aca="false">IF(I8=0,"NO TASKS",IF(COUNTIFS('Master Plan'!$C$5:$C$73,H8,'Master Plan'!$P$5:$P$73,"Project Plan")=0,"Proposed only",IF(AND(C8="Yes",J8=0),"LLM task missing","Covered")))</f>
        <v>Covered</v>
      </c>
    </row>
    <row r="9" customFormat="false" ht="23.85" hidden="false" customHeight="false" outlineLevel="0" collapsed="false">
      <c r="A9" s="19" t="n">
        <v>9</v>
      </c>
      <c r="B9" s="41" t="s">
        <v>78</v>
      </c>
      <c r="C9" s="19" t="s">
        <v>54</v>
      </c>
      <c r="D9" s="21" t="s">
        <v>302</v>
      </c>
      <c r="E9" s="21" t="s">
        <v>303</v>
      </c>
      <c r="F9" s="21" t="s">
        <v>301</v>
      </c>
      <c r="G9" s="19" t="s">
        <v>88</v>
      </c>
      <c r="H9" s="21" t="s">
        <v>78</v>
      </c>
      <c r="I9" s="19" t="n">
        <f aca="false">COUNTIF('Master Plan'!$C$5:$C$73,H9)</f>
        <v>1</v>
      </c>
      <c r="J9" s="19" t="n">
        <f aca="false">COUNTIFS('Master Plan'!$C$5:$C$73,H9,'Master Plan'!$B$5:$B$73,"LLM &amp; RAG")</f>
        <v>0</v>
      </c>
      <c r="K9" s="42" t="n">
        <f aca="false">IFERROR(AVERAGEIFS('Master Plan'!$I$5:$I$73,'Master Plan'!$C$5:$C$73,H9),0)</f>
        <v>1</v>
      </c>
      <c r="L9" s="19" t="n">
        <f aca="false">COUNTIFS('Master Plan'!$C$5:$C$73,H9,'Master Plan'!$K$5:$K$73,"Blocked")</f>
        <v>0</v>
      </c>
      <c r="M9" s="19" t="str">
        <f aca="false">IF(I9=0,"NO TASKS",IF(COUNTIFS('Master Plan'!$C$5:$C$73,H9,'Master Plan'!$P$5:$P$73,"Project Plan")=0,"Proposed only",IF(AND(C9="Yes",J9=0),"LLM task missing","Covered")))</f>
        <v>Covered</v>
      </c>
    </row>
    <row r="10" customFormat="false" ht="46.25" hidden="false" customHeight="false" outlineLevel="0" collapsed="false">
      <c r="A10" s="19" t="n">
        <v>10</v>
      </c>
      <c r="B10" s="41" t="s">
        <v>304</v>
      </c>
      <c r="C10" s="19" t="s">
        <v>54</v>
      </c>
      <c r="D10" s="21" t="s">
        <v>305</v>
      </c>
      <c r="E10" s="21" t="s">
        <v>306</v>
      </c>
      <c r="F10" s="21" t="s">
        <v>307</v>
      </c>
      <c r="G10" s="19" t="s">
        <v>88</v>
      </c>
      <c r="H10" s="21" t="s">
        <v>61</v>
      </c>
      <c r="I10" s="19" t="n">
        <f aca="false">COUNTIF('Master Plan'!$C$5:$C$73,H10)</f>
        <v>4</v>
      </c>
      <c r="J10" s="19" t="n">
        <f aca="false">COUNTIFS('Master Plan'!$C$5:$C$73,H10,'Master Plan'!$B$5:$B$73,"LLM &amp; RAG")</f>
        <v>0</v>
      </c>
      <c r="K10" s="42" t="n">
        <f aca="false">IFERROR(AVERAGEIFS('Master Plan'!$I$5:$I$73,'Master Plan'!$C$5:$C$73,H10),0)</f>
        <v>0.4</v>
      </c>
      <c r="L10" s="19" t="n">
        <f aca="false">COUNTIFS('Master Plan'!$C$5:$C$73,H10,'Master Plan'!$K$5:$K$73,"Blocked")</f>
        <v>0</v>
      </c>
      <c r="M10" s="19" t="str">
        <f aca="false">IF(I10=0,"NO TASKS",IF(COUNTIFS('Master Plan'!$C$5:$C$73,H10,'Master Plan'!$P$5:$P$73,"Project Plan")=0,"Proposed only",IF(AND(C10="Yes",J10=0),"LLM task missing","Covered")))</f>
        <v>Covered</v>
      </c>
    </row>
    <row r="11" customFormat="false" ht="23.85" hidden="false" customHeight="false" outlineLevel="0" collapsed="false">
      <c r="A11" s="19" t="n">
        <v>11</v>
      </c>
      <c r="B11" s="41" t="s">
        <v>161</v>
      </c>
      <c r="C11" s="19" t="s">
        <v>54</v>
      </c>
      <c r="D11" s="21" t="s">
        <v>308</v>
      </c>
      <c r="E11" s="21" t="s">
        <v>309</v>
      </c>
      <c r="F11" s="21" t="s">
        <v>301</v>
      </c>
      <c r="G11" s="19" t="s">
        <v>88</v>
      </c>
      <c r="H11" s="21" t="s">
        <v>161</v>
      </c>
      <c r="I11" s="19" t="n">
        <f aca="false">COUNTIF('Master Plan'!$C$5:$C$73,H11)</f>
        <v>3</v>
      </c>
      <c r="J11" s="19" t="n">
        <f aca="false">COUNTIFS('Master Plan'!$C$5:$C$73,H11,'Master Plan'!$B$5:$B$73,"LLM &amp; RAG")</f>
        <v>0</v>
      </c>
      <c r="K11" s="42" t="n">
        <f aca="false">IFERROR(AVERAGEIFS('Master Plan'!$I$5:$I$73,'Master Plan'!$C$5:$C$73,H11),0)</f>
        <v>0.333333333333333</v>
      </c>
      <c r="L11" s="19" t="n">
        <f aca="false">COUNTIFS('Master Plan'!$C$5:$C$73,H11,'Master Plan'!$K$5:$K$73,"Blocked")</f>
        <v>0</v>
      </c>
      <c r="M11" s="19" t="str">
        <f aca="false">IF(I11=0,"NO TASKS",IF(COUNTIFS('Master Plan'!$C$5:$C$73,H11,'Master Plan'!$P$5:$P$73,"Project Plan")=0,"Proposed only",IF(AND(C11="Yes",J11=0),"LLM task missing","Covered")))</f>
        <v>Covered</v>
      </c>
    </row>
    <row r="12" customFormat="false" ht="23.85" hidden="false" customHeight="false" outlineLevel="0" collapsed="false">
      <c r="A12" s="19" t="n">
        <v>12</v>
      </c>
      <c r="B12" s="41" t="s">
        <v>310</v>
      </c>
      <c r="C12" s="19" t="s">
        <v>88</v>
      </c>
      <c r="D12" s="21" t="s">
        <v>311</v>
      </c>
      <c r="E12" s="21" t="s">
        <v>312</v>
      </c>
      <c r="F12" s="21" t="s">
        <v>301</v>
      </c>
      <c r="G12" s="19" t="s">
        <v>88</v>
      </c>
      <c r="H12" s="21" t="s">
        <v>156</v>
      </c>
      <c r="I12" s="19" t="n">
        <f aca="false">COUNTIF('Master Plan'!$C$5:$C$73,H12)</f>
        <v>3</v>
      </c>
      <c r="J12" s="19" t="n">
        <f aca="false">COUNTIFS('Master Plan'!$C$5:$C$73,H12,'Master Plan'!$B$5:$B$73,"LLM &amp; RAG")</f>
        <v>1</v>
      </c>
      <c r="K12" s="42" t="n">
        <f aca="false">IFERROR(AVERAGEIFS('Master Plan'!$I$5:$I$73,'Master Plan'!$C$5:$C$73,H12),0)</f>
        <v>0</v>
      </c>
      <c r="L12" s="19" t="n">
        <f aca="false">COUNTIFS('Master Plan'!$C$5:$C$73,H12,'Master Plan'!$K$5:$K$73,"Blocked")</f>
        <v>0</v>
      </c>
      <c r="M12" s="19" t="str">
        <f aca="false">IF(I12=0,"NO TASKS",IF(COUNTIFS('Master Plan'!$C$5:$C$73,H12,'Master Plan'!$P$5:$P$73,"Project Plan")=0,"Proposed only",IF(AND(C12="Yes",J12=0),"LLM task missing","Covered")))</f>
        <v>Proposed only</v>
      </c>
    </row>
    <row r="13" customFormat="false" ht="35.05" hidden="false" customHeight="false" outlineLevel="0" collapsed="false">
      <c r="A13" s="19" t="n">
        <v>13</v>
      </c>
      <c r="B13" s="41" t="s">
        <v>270</v>
      </c>
      <c r="C13" s="19" t="s">
        <v>54</v>
      </c>
      <c r="D13" s="21" t="s">
        <v>313</v>
      </c>
      <c r="E13" s="21" t="s">
        <v>314</v>
      </c>
      <c r="F13" s="21" t="s">
        <v>301</v>
      </c>
      <c r="G13" s="19" t="s">
        <v>88</v>
      </c>
      <c r="H13" s="21" t="s">
        <v>100</v>
      </c>
      <c r="I13" s="19" t="n">
        <f aca="false">COUNTIF('Master Plan'!$C$5:$C$73,H13)</f>
        <v>4</v>
      </c>
      <c r="J13" s="19" t="n">
        <f aca="false">COUNTIFS('Master Plan'!$C$5:$C$73,H13,'Master Plan'!$B$5:$B$73,"LLM &amp; RAG")</f>
        <v>0</v>
      </c>
      <c r="K13" s="42" t="n">
        <f aca="false">IFERROR(AVERAGEIFS('Master Plan'!$I$5:$I$73,'Master Plan'!$C$5:$C$73,H13),0)</f>
        <v>0</v>
      </c>
      <c r="L13" s="19" t="n">
        <f aca="false">COUNTIFS('Master Plan'!$C$5:$C$73,H13,'Master Plan'!$K$5:$K$73,"Blocked")</f>
        <v>4</v>
      </c>
      <c r="M13" s="19" t="str">
        <f aca="false">IF(I13=0,"NO TASKS",IF(COUNTIFS('Master Plan'!$C$5:$C$73,H13,'Master Plan'!$P$5:$P$73,"Project Plan")=0,"Proposed only",IF(AND(C13="Yes",J13=0),"LLM task missing","Covered")))</f>
        <v>Covered</v>
      </c>
    </row>
    <row r="14" customFormat="false" ht="23.85" hidden="false" customHeight="false" outlineLevel="0" collapsed="false">
      <c r="A14" s="19" t="n">
        <v>14</v>
      </c>
      <c r="B14" s="41" t="s">
        <v>315</v>
      </c>
      <c r="C14" s="19" t="s">
        <v>54</v>
      </c>
      <c r="D14" s="21" t="s">
        <v>316</v>
      </c>
      <c r="E14" s="21" t="s">
        <v>317</v>
      </c>
      <c r="F14" s="21" t="s">
        <v>318</v>
      </c>
      <c r="G14" s="19" t="s">
        <v>54</v>
      </c>
      <c r="H14" s="21" t="s">
        <v>86</v>
      </c>
      <c r="I14" s="19" t="n">
        <f aca="false">COUNTIF('Master Plan'!$C$5:$C$73,H14)</f>
        <v>4</v>
      </c>
      <c r="J14" s="19" t="n">
        <f aca="false">COUNTIFS('Master Plan'!$C$5:$C$73,H14,'Master Plan'!$B$5:$B$73,"LLM &amp; RAG")</f>
        <v>0</v>
      </c>
      <c r="K14" s="42" t="n">
        <f aca="false">IFERROR(AVERAGEIFS('Master Plan'!$I$5:$I$73,'Master Plan'!$C$5:$C$73,H14),0)</f>
        <v>0</v>
      </c>
      <c r="L14" s="19" t="n">
        <f aca="false">COUNTIFS('Master Plan'!$C$5:$C$73,H14,'Master Plan'!$K$5:$K$73,"Blocked")</f>
        <v>4</v>
      </c>
      <c r="M14" s="19" t="str">
        <f aca="false">IF(I14=0,"NO TASKS",IF(COUNTIFS('Master Plan'!$C$5:$C$73,H14,'Master Plan'!$P$5:$P$73,"Project Plan")=0,"Proposed only",IF(AND(C14="Yes",J14=0),"LLM task missing","Covered")))</f>
        <v>Covered</v>
      </c>
    </row>
    <row r="15" customFormat="false" ht="35.05" hidden="false" customHeight="false" outlineLevel="0" collapsed="false">
      <c r="A15" s="19" t="n">
        <v>15</v>
      </c>
      <c r="B15" s="41" t="s">
        <v>65</v>
      </c>
      <c r="C15" s="19" t="s">
        <v>88</v>
      </c>
      <c r="D15" s="21" t="s">
        <v>319</v>
      </c>
      <c r="E15" s="21" t="s">
        <v>320</v>
      </c>
      <c r="F15" s="21" t="s">
        <v>321</v>
      </c>
      <c r="G15" s="19" t="s">
        <v>54</v>
      </c>
      <c r="H15" s="21" t="s">
        <v>65</v>
      </c>
      <c r="I15" s="19" t="n">
        <f aca="false">COUNTIF('Master Plan'!$C$5:$C$73,H15)</f>
        <v>6</v>
      </c>
      <c r="J15" s="19" t="n">
        <f aca="false">COUNTIFS('Master Plan'!$C$5:$C$73,H15,'Master Plan'!$B$5:$B$73,"LLM &amp; RAG")</f>
        <v>2</v>
      </c>
      <c r="K15" s="42" t="n">
        <f aca="false">IFERROR(AVERAGEIFS('Master Plan'!$I$5:$I$73,'Master Plan'!$C$5:$C$73,H15),0)</f>
        <v>0</v>
      </c>
      <c r="L15" s="19" t="n">
        <f aca="false">COUNTIFS('Master Plan'!$C$5:$C$73,H15,'Master Plan'!$K$5:$K$73,"Blocked")</f>
        <v>1</v>
      </c>
      <c r="M15" s="19" t="str">
        <f aca="false">IF(I15=0,"NO TASKS",IF(COUNTIFS('Master Plan'!$C$5:$C$73,H15,'Master Plan'!$P$5:$P$73,"Project Plan")=0,"Proposed only",IF(AND(C15="Yes",J15=0),"LLM task missing","Covered")))</f>
        <v>Covered</v>
      </c>
    </row>
    <row r="16" customFormat="false" ht="23.85" hidden="false" customHeight="false" outlineLevel="0" collapsed="false">
      <c r="A16" s="19" t="n">
        <v>16</v>
      </c>
      <c r="B16" s="41" t="s">
        <v>322</v>
      </c>
      <c r="C16" s="19" t="s">
        <v>54</v>
      </c>
      <c r="D16" s="21" t="s">
        <v>323</v>
      </c>
      <c r="E16" s="21" t="s">
        <v>324</v>
      </c>
      <c r="F16" s="21" t="s">
        <v>301</v>
      </c>
      <c r="G16" s="19" t="s">
        <v>54</v>
      </c>
      <c r="H16" s="21" t="s">
        <v>145</v>
      </c>
      <c r="I16" s="19" t="n">
        <f aca="false">COUNTIF('Master Plan'!$C$5:$C$73,H16)</f>
        <v>2</v>
      </c>
      <c r="J16" s="19" t="n">
        <f aca="false">COUNTIFS('Master Plan'!$C$5:$C$73,H16,'Master Plan'!$B$5:$B$73,"LLM &amp; RAG")</f>
        <v>0</v>
      </c>
      <c r="K16" s="42" t="n">
        <f aca="false">IFERROR(AVERAGEIFS('Master Plan'!$I$5:$I$73,'Master Plan'!$C$5:$C$73,H16),0)</f>
        <v>0</v>
      </c>
      <c r="L16" s="19" t="n">
        <f aca="false">COUNTIFS('Master Plan'!$C$5:$C$73,H16,'Master Plan'!$K$5:$K$73,"Blocked")</f>
        <v>2</v>
      </c>
      <c r="M16" s="19" t="str">
        <f aca="false">IF(I16=0,"NO TASKS",IF(COUNTIFS('Master Plan'!$C$5:$C$73,H16,'Master Plan'!$P$5:$P$73,"Project Plan")=0,"Proposed only",IF(AND(C16="Yes",J16=0),"LLM task missing","Covered")))</f>
        <v>Covered</v>
      </c>
    </row>
    <row r="17" customFormat="false" ht="23.85" hidden="false" customHeight="false" outlineLevel="0" collapsed="false">
      <c r="A17" s="19" t="n">
        <v>17</v>
      </c>
      <c r="B17" s="41" t="s">
        <v>325</v>
      </c>
      <c r="C17" s="19" t="s">
        <v>88</v>
      </c>
      <c r="D17" s="21" t="s">
        <v>326</v>
      </c>
      <c r="E17" s="21" t="s">
        <v>327</v>
      </c>
      <c r="F17" s="21" t="s">
        <v>328</v>
      </c>
      <c r="G17" s="19" t="s">
        <v>54</v>
      </c>
      <c r="H17" s="21" t="s">
        <v>137</v>
      </c>
      <c r="I17" s="19" t="n">
        <f aca="false">COUNTIF('Master Plan'!$C$5:$C$73,H17)</f>
        <v>6</v>
      </c>
      <c r="J17" s="19" t="n">
        <f aca="false">COUNTIFS('Master Plan'!$C$5:$C$73,H17,'Master Plan'!$B$5:$B$73,"LLM &amp; RAG")</f>
        <v>1</v>
      </c>
      <c r="K17" s="42" t="n">
        <f aca="false">IFERROR(AVERAGEIFS('Master Plan'!$I$5:$I$73,'Master Plan'!$C$5:$C$73,H17),0)</f>
        <v>0</v>
      </c>
      <c r="L17" s="19" t="n">
        <f aca="false">COUNTIFS('Master Plan'!$C$5:$C$73,H17,'Master Plan'!$K$5:$K$73,"Blocked")</f>
        <v>6</v>
      </c>
      <c r="M17" s="19" t="str">
        <f aca="false">IF(I17=0,"NO TASKS",IF(COUNTIFS('Master Plan'!$C$5:$C$73,H17,'Master Plan'!$P$5:$P$73,"Project Plan")=0,"Proposed only",IF(AND(C17="Yes",J17=0),"LLM task missing","Covered")))</f>
        <v>Covered</v>
      </c>
    </row>
    <row r="18" customFormat="false" ht="15" hidden="false" customHeight="false" outlineLevel="0" collapsed="false">
      <c r="A18" s="19" t="n">
        <v>18</v>
      </c>
      <c r="B18" s="41" t="s">
        <v>329</v>
      </c>
      <c r="C18" s="19" t="s">
        <v>88</v>
      </c>
      <c r="D18" s="21" t="s">
        <v>330</v>
      </c>
      <c r="E18" s="21" t="s">
        <v>331</v>
      </c>
      <c r="F18" s="21" t="s">
        <v>301</v>
      </c>
      <c r="G18" s="19" t="s">
        <v>88</v>
      </c>
      <c r="H18" s="21" t="s">
        <v>120</v>
      </c>
      <c r="I18" s="19" t="n">
        <f aca="false">COUNTIF('Master Plan'!$C$5:$C$73,H18)</f>
        <v>4</v>
      </c>
      <c r="J18" s="19" t="n">
        <f aca="false">COUNTIFS('Master Plan'!$C$5:$C$73,H18,'Master Plan'!$B$5:$B$73,"LLM &amp; RAG")</f>
        <v>1</v>
      </c>
      <c r="K18" s="42" t="n">
        <f aca="false">IFERROR(AVERAGEIFS('Master Plan'!$I$5:$I$73,'Master Plan'!$C$5:$C$73,H18),0)</f>
        <v>0</v>
      </c>
      <c r="L18" s="19" t="n">
        <f aca="false">COUNTIFS('Master Plan'!$C$5:$C$73,H18,'Master Plan'!$K$5:$K$73,"Blocked")</f>
        <v>4</v>
      </c>
      <c r="M18" s="19" t="str">
        <f aca="false">IF(I18=0,"NO TASKS",IF(COUNTIFS('Master Plan'!$C$5:$C$73,H18,'Master Plan'!$P$5:$P$73,"Project Plan")=0,"Proposed only",IF(AND(C18="Yes",J18=0),"LLM task missing","Covered")))</f>
        <v>Covered</v>
      </c>
    </row>
    <row r="19" customFormat="false" ht="46.25" hidden="false" customHeight="false" outlineLevel="0" collapsed="false">
      <c r="A19" s="19" t="n">
        <v>19</v>
      </c>
      <c r="B19" s="41" t="s">
        <v>68</v>
      </c>
      <c r="C19" s="19" t="s">
        <v>88</v>
      </c>
      <c r="D19" s="21" t="s">
        <v>332</v>
      </c>
      <c r="E19" s="21" t="s">
        <v>333</v>
      </c>
      <c r="F19" s="21" t="s">
        <v>301</v>
      </c>
      <c r="G19" s="19" t="s">
        <v>54</v>
      </c>
      <c r="H19" s="21" t="s">
        <v>68</v>
      </c>
      <c r="I19" s="19" t="n">
        <f aca="false">COUNTIF('Master Plan'!$C$5:$C$73,H19)</f>
        <v>6</v>
      </c>
      <c r="J19" s="19" t="n">
        <f aca="false">COUNTIFS('Master Plan'!$C$5:$C$73,H19,'Master Plan'!$B$5:$B$73,"LLM &amp; RAG")</f>
        <v>1</v>
      </c>
      <c r="K19" s="42" t="n">
        <f aca="false">IFERROR(AVERAGEIFS('Master Plan'!$I$5:$I$73,'Master Plan'!$C$5:$C$73,H19),0)</f>
        <v>0</v>
      </c>
      <c r="L19" s="19" t="n">
        <f aca="false">COUNTIFS('Master Plan'!$C$5:$C$73,H19,'Master Plan'!$K$5:$K$73,"Blocked")</f>
        <v>1</v>
      </c>
      <c r="M19" s="19" t="str">
        <f aca="false">IF(I19=0,"NO TASKS",IF(COUNTIFS('Master Plan'!$C$5:$C$73,H19,'Master Plan'!$P$5:$P$73,"Project Plan")=0,"Proposed only",IF(AND(C19="Yes",J19=0),"LLM task missing","Covered")))</f>
        <v>Proposed only</v>
      </c>
    </row>
    <row r="20" customFormat="false" ht="15" hidden="false" customHeight="false" outlineLevel="0" collapsed="false">
      <c r="A20" s="19" t="n">
        <v>20</v>
      </c>
      <c r="B20" s="41" t="s">
        <v>334</v>
      </c>
      <c r="C20" s="19" t="s">
        <v>88</v>
      </c>
      <c r="D20" s="21" t="s">
        <v>335</v>
      </c>
      <c r="E20" s="21" t="s">
        <v>336</v>
      </c>
      <c r="F20" s="21" t="s">
        <v>301</v>
      </c>
      <c r="G20" s="19" t="s">
        <v>88</v>
      </c>
      <c r="H20" s="21" t="s">
        <v>129</v>
      </c>
      <c r="I20" s="19" t="n">
        <f aca="false">COUNTIF('Master Plan'!$C$5:$C$73,H20)</f>
        <v>4</v>
      </c>
      <c r="J20" s="19" t="n">
        <f aca="false">COUNTIFS('Master Plan'!$C$5:$C$73,H20,'Master Plan'!$B$5:$B$73,"LLM &amp; RAG")</f>
        <v>1</v>
      </c>
      <c r="K20" s="42" t="n">
        <f aca="false">IFERROR(AVERAGEIFS('Master Plan'!$I$5:$I$73,'Master Plan'!$C$5:$C$73,H20),0)</f>
        <v>0</v>
      </c>
      <c r="L20" s="19" t="n">
        <f aca="false">COUNTIFS('Master Plan'!$C$5:$C$73,H20,'Master Plan'!$K$5:$K$73,"Blocked")</f>
        <v>4</v>
      </c>
      <c r="M20" s="19" t="str">
        <f aca="false">IF(I20=0,"NO TASKS",IF(COUNTIFS('Master Plan'!$C$5:$C$73,H20,'Master Plan'!$P$5:$P$73,"Project Plan")=0,"Proposed only",IF(AND(C20="Yes",J20=0),"LLM task missing","Covered")))</f>
        <v>Covered</v>
      </c>
    </row>
    <row r="21" customFormat="false" ht="23.85" hidden="false" customHeight="false" outlineLevel="0" collapsed="false">
      <c r="A21" s="19" t="n">
        <v>21</v>
      </c>
      <c r="B21" s="41" t="s">
        <v>179</v>
      </c>
      <c r="C21" s="19" t="s">
        <v>54</v>
      </c>
      <c r="D21" s="21" t="s">
        <v>337</v>
      </c>
      <c r="E21" s="21" t="s">
        <v>338</v>
      </c>
      <c r="F21" s="21" t="s">
        <v>301</v>
      </c>
      <c r="G21" s="19" t="s">
        <v>88</v>
      </c>
      <c r="H21" s="21" t="s">
        <v>179</v>
      </c>
      <c r="I21" s="19" t="n">
        <f aca="false">COUNTIF('Master Plan'!$C$5:$C$73,H21)</f>
        <v>2</v>
      </c>
      <c r="J21" s="19" t="n">
        <f aca="false">COUNTIFS('Master Plan'!$C$5:$C$73,H21,'Master Plan'!$B$5:$B$73,"LLM &amp; RAG")</f>
        <v>0</v>
      </c>
      <c r="K21" s="42" t="n">
        <f aca="false">IFERROR(AVERAGEIFS('Master Plan'!$I$5:$I$73,'Master Plan'!$C$5:$C$73,H21),0)</f>
        <v>0</v>
      </c>
      <c r="L21" s="19" t="n">
        <f aca="false">COUNTIFS('Master Plan'!$C$5:$C$73,H21,'Master Plan'!$K$5:$K$73,"Blocked")</f>
        <v>1</v>
      </c>
      <c r="M21" s="19" t="str">
        <f aca="false">IF(I21=0,"NO TASKS",IF(COUNTIFS('Master Plan'!$C$5:$C$73,H21,'Master Plan'!$P$5:$P$73,"Project Plan")=0,"Proposed only",IF(AND(C21="Yes",J21=0),"LLM task missing","Covered")))</f>
        <v>Proposed only</v>
      </c>
    </row>
    <row r="23" customFormat="false" ht="15" hidden="false" customHeight="false" outlineLevel="0" collapsed="false">
      <c r="A23" s="4" t="s">
        <v>339</v>
      </c>
    </row>
  </sheetData>
  <autoFilter ref="A7:M21"/>
  <conditionalFormatting sqref="M8:M21">
    <cfRule type="cellIs" priority="2" operator="equal" aboveAverage="0" equalAverage="0" bottom="0" percent="0" rank="0" text="" dxfId="15">
      <formula>"Covered"</formula>
    </cfRule>
    <cfRule type="cellIs" priority="3" operator="equal" aboveAverage="0" equalAverage="0" bottom="0" percent="0" rank="0" text="" dxfId="16">
      <formula>"Proposed only"</formula>
    </cfRule>
    <cfRule type="cellIs" priority="4" operator="equal" aboveAverage="0" equalAverage="0" bottom="0" percent="0" rank="0" text="" dxfId="17">
      <formula>"LLM task missing"</formula>
    </cfRule>
    <cfRule type="cellIs" priority="5" operator="equal" aboveAverage="0" equalAverage="0" bottom="0" percent="0" rank="0" text="" dxfId="19">
      <formula>"NO TASKS"</formula>
    </cfRule>
  </conditionalFormatting>
  <conditionalFormatting sqref="G8:G21">
    <cfRule type="cellIs" priority="6" operator="equal" aboveAverage="0" equalAverage="0" bottom="0" percent="0" rank="0" text="" dxfId="0">
      <formula>"No"</formula>
    </cfRule>
  </conditionalFormatting>
  <conditionalFormatting sqref="K8:K21">
    <cfRule type="dataBar" priority="7">
      <dataBar showValue="1" minLength="10" maxLength="90">
        <cfvo type="num" val="0"/>
        <cfvo type="num" val="1"/>
        <color rgb="FF63BE7B"/>
      </dataBar>
      <extLst>
        <ext xmlns:x14="http://schemas.microsoft.com/office/spreadsheetml/2009/9/main" uri="{B025F937-C7B1-47D3-B67F-A62EFF666E3E}">
          <x14:id>{A04DA4C1-AA51-4B35-BB1F-30F690B38F51}</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04DA4C1-AA51-4B35-BB1F-30F690B38F51}">
            <x14:dataBar minLength="10" maxLength="90" axisPosition="none" gradient="true">
              <x14:cfvo type="num">
                <xm:f>0</xm:f>
              </x14:cfvo>
              <x14:cfvo type="num">
                <xm:f>1</xm:f>
              </x14:cfvo>
              <x14:negativeFillColor rgb="FF63BE7B"/>
              <x14:axisColor rgb="FF000000"/>
            </x14:dataBar>
          </x14:cfRule>
          <xm:sqref>K8:K21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2"/>
    <col collapsed="false" customWidth="true" hidden="false" outlineLevel="0" max="4" min="4" style="0" width="100"/>
    <col collapsed="false" customWidth="true" hidden="false" outlineLevel="0" max="5" min="5" style="0" width="60"/>
  </cols>
  <sheetData>
    <row r="1" customFormat="false" ht="17.35" hidden="false" customHeight="false" outlineLevel="0" collapsed="false">
      <c r="A1" s="1" t="s">
        <v>340</v>
      </c>
    </row>
    <row r="2" customFormat="false" ht="15" hidden="false" customHeight="false" outlineLevel="0" collapsed="false">
      <c r="A2" s="4" t="s">
        <v>341</v>
      </c>
    </row>
    <row r="4" customFormat="false" ht="30" hidden="false" customHeight="true" outlineLevel="0" collapsed="false">
      <c r="A4" s="5" t="s">
        <v>342</v>
      </c>
      <c r="B4" s="5" t="s">
        <v>289</v>
      </c>
      <c r="C4" s="5" t="s">
        <v>343</v>
      </c>
      <c r="D4" s="5" t="s">
        <v>344</v>
      </c>
      <c r="E4" s="5" t="s">
        <v>345</v>
      </c>
    </row>
    <row r="5" customFormat="false" ht="15" hidden="false" customHeight="false" outlineLevel="0" collapsed="false">
      <c r="A5" s="21" t="s">
        <v>346</v>
      </c>
      <c r="B5" s="21" t="s">
        <v>298</v>
      </c>
      <c r="C5" s="21" t="s">
        <v>347</v>
      </c>
      <c r="D5" s="21" t="s">
        <v>348</v>
      </c>
      <c r="E5" s="21" t="s">
        <v>349</v>
      </c>
    </row>
    <row r="6" customFormat="false" ht="15" hidden="false" customHeight="false" outlineLevel="0" collapsed="false">
      <c r="A6" s="21" t="s">
        <v>350</v>
      </c>
      <c r="B6" s="21" t="s">
        <v>298</v>
      </c>
      <c r="C6" s="21" t="s">
        <v>351</v>
      </c>
      <c r="D6" s="21" t="s">
        <v>352</v>
      </c>
      <c r="E6" s="21" t="s">
        <v>353</v>
      </c>
    </row>
    <row r="7" customFormat="false" ht="15" hidden="false" customHeight="false" outlineLevel="0" collapsed="false">
      <c r="A7" s="21" t="s">
        <v>346</v>
      </c>
      <c r="B7" s="21" t="s">
        <v>304</v>
      </c>
      <c r="C7" s="21" t="s">
        <v>347</v>
      </c>
      <c r="D7" s="21" t="s">
        <v>354</v>
      </c>
      <c r="E7" s="21" t="s">
        <v>355</v>
      </c>
    </row>
    <row r="8" customFormat="false" ht="23.85" hidden="false" customHeight="false" outlineLevel="0" collapsed="false">
      <c r="A8" s="21" t="s">
        <v>350</v>
      </c>
      <c r="B8" s="21" t="s">
        <v>304</v>
      </c>
      <c r="C8" s="21" t="s">
        <v>351</v>
      </c>
      <c r="D8" s="21" t="s">
        <v>356</v>
      </c>
      <c r="E8" s="21" t="s">
        <v>357</v>
      </c>
    </row>
    <row r="9" customFormat="false" ht="23.85" hidden="false" customHeight="false" outlineLevel="0" collapsed="false">
      <c r="A9" s="21" t="s">
        <v>346</v>
      </c>
      <c r="B9" s="21" t="s">
        <v>161</v>
      </c>
      <c r="C9" s="21" t="s">
        <v>347</v>
      </c>
      <c r="D9" s="21" t="s">
        <v>358</v>
      </c>
      <c r="E9" s="21" t="s">
        <v>359</v>
      </c>
    </row>
    <row r="10" customFormat="false" ht="15" hidden="false" customHeight="false" outlineLevel="0" collapsed="false">
      <c r="A10" s="21" t="s">
        <v>360</v>
      </c>
      <c r="B10" s="21" t="s">
        <v>161</v>
      </c>
      <c r="C10" s="21" t="s">
        <v>347</v>
      </c>
      <c r="D10" s="21" t="s">
        <v>361</v>
      </c>
      <c r="E10" s="21" t="s">
        <v>362</v>
      </c>
    </row>
    <row r="11" customFormat="false" ht="15" hidden="false" customHeight="false" outlineLevel="0" collapsed="false">
      <c r="A11" s="21" t="s">
        <v>363</v>
      </c>
      <c r="B11" s="21" t="s">
        <v>270</v>
      </c>
      <c r="C11" s="21" t="s">
        <v>347</v>
      </c>
      <c r="D11" s="21" t="s">
        <v>364</v>
      </c>
      <c r="E11" s="21" t="s">
        <v>365</v>
      </c>
    </row>
    <row r="12" customFormat="false" ht="23.85" hidden="false" customHeight="false" outlineLevel="0" collapsed="false">
      <c r="A12" s="21" t="s">
        <v>350</v>
      </c>
      <c r="B12" s="21" t="s">
        <v>270</v>
      </c>
      <c r="C12" s="21" t="s">
        <v>347</v>
      </c>
      <c r="D12" s="21" t="s">
        <v>366</v>
      </c>
      <c r="E12" s="21" t="s">
        <v>367</v>
      </c>
    </row>
    <row r="13" customFormat="false" ht="15" hidden="false" customHeight="false" outlineLevel="0" collapsed="false">
      <c r="A13" s="21" t="s">
        <v>346</v>
      </c>
      <c r="B13" s="21" t="s">
        <v>65</v>
      </c>
      <c r="C13" s="21" t="s">
        <v>347</v>
      </c>
      <c r="D13" s="21" t="s">
        <v>368</v>
      </c>
      <c r="E13" s="21" t="s">
        <v>369</v>
      </c>
    </row>
    <row r="14" customFormat="false" ht="35.05" hidden="false" customHeight="false" outlineLevel="0" collapsed="false">
      <c r="A14" s="21" t="s">
        <v>350</v>
      </c>
      <c r="B14" s="21" t="s">
        <v>370</v>
      </c>
      <c r="C14" s="21" t="s">
        <v>371</v>
      </c>
      <c r="D14" s="21" t="s">
        <v>372</v>
      </c>
      <c r="E14" s="21" t="s">
        <v>373</v>
      </c>
    </row>
    <row r="15" customFormat="false" ht="15" hidden="false" customHeight="false" outlineLevel="0" collapsed="false">
      <c r="A15" s="21" t="s">
        <v>350</v>
      </c>
      <c r="B15" s="21" t="s">
        <v>374</v>
      </c>
      <c r="C15" s="21" t="s">
        <v>347</v>
      </c>
      <c r="D15" s="21" t="s">
        <v>375</v>
      </c>
      <c r="E15" s="21" t="s">
        <v>376</v>
      </c>
    </row>
    <row r="16" customFormat="false" ht="15" hidden="false" customHeight="false" outlineLevel="0" collapsed="false">
      <c r="A16" s="21" t="s">
        <v>346</v>
      </c>
      <c r="B16" s="21" t="s">
        <v>65</v>
      </c>
      <c r="C16" s="21" t="s">
        <v>347</v>
      </c>
      <c r="D16" s="21" t="s">
        <v>377</v>
      </c>
      <c r="E16" s="21" t="s">
        <v>378</v>
      </c>
    </row>
    <row r="17" customFormat="false" ht="15" hidden="false" customHeight="false" outlineLevel="0" collapsed="false">
      <c r="A17" s="21" t="s">
        <v>346</v>
      </c>
      <c r="B17" s="21" t="s">
        <v>322</v>
      </c>
      <c r="C17" s="21" t="s">
        <v>347</v>
      </c>
      <c r="D17" s="21" t="s">
        <v>379</v>
      </c>
      <c r="E17" s="21" t="s">
        <v>380</v>
      </c>
    </row>
    <row r="18" customFormat="false" ht="15" hidden="false" customHeight="false" outlineLevel="0" collapsed="false">
      <c r="A18" s="21" t="s">
        <v>346</v>
      </c>
      <c r="B18" s="21" t="s">
        <v>329</v>
      </c>
      <c r="C18" s="21" t="s">
        <v>347</v>
      </c>
      <c r="D18" s="21" t="s">
        <v>381</v>
      </c>
      <c r="E18" s="21" t="s">
        <v>382</v>
      </c>
    </row>
    <row r="19" customFormat="false" ht="23.85" hidden="false" customHeight="false" outlineLevel="0" collapsed="false">
      <c r="A19" s="21" t="s">
        <v>346</v>
      </c>
      <c r="B19" s="21" t="s">
        <v>68</v>
      </c>
      <c r="C19" s="21" t="s">
        <v>347</v>
      </c>
      <c r="D19" s="21" t="s">
        <v>383</v>
      </c>
      <c r="E19" s="21" t="s">
        <v>384</v>
      </c>
    </row>
    <row r="20" customFormat="false" ht="23.85" hidden="false" customHeight="false" outlineLevel="0" collapsed="false">
      <c r="A20" s="21" t="s">
        <v>350</v>
      </c>
      <c r="B20" s="21" t="s">
        <v>68</v>
      </c>
      <c r="C20" s="21" t="s">
        <v>351</v>
      </c>
      <c r="D20" s="21" t="s">
        <v>385</v>
      </c>
      <c r="E20" s="21" t="s">
        <v>386</v>
      </c>
    </row>
    <row r="21" customFormat="false" ht="15" hidden="false" customHeight="false" outlineLevel="0" collapsed="false">
      <c r="A21" s="21" t="s">
        <v>346</v>
      </c>
      <c r="B21" s="21" t="s">
        <v>334</v>
      </c>
      <c r="C21" s="21" t="s">
        <v>347</v>
      </c>
      <c r="D21" s="21" t="s">
        <v>387</v>
      </c>
      <c r="E21" s="21" t="s">
        <v>388</v>
      </c>
    </row>
    <row r="22" customFormat="false" ht="15" hidden="false" customHeight="false" outlineLevel="0" collapsed="false">
      <c r="A22" s="21" t="s">
        <v>346</v>
      </c>
      <c r="B22" s="21" t="s">
        <v>179</v>
      </c>
      <c r="C22" s="21" t="s">
        <v>347</v>
      </c>
      <c r="D22" s="21" t="s">
        <v>389</v>
      </c>
      <c r="E22" s="21" t="s">
        <v>390</v>
      </c>
    </row>
    <row r="23" customFormat="false" ht="15" hidden="false" customHeight="false" outlineLevel="0" collapsed="false">
      <c r="A23" s="21" t="s">
        <v>391</v>
      </c>
      <c r="B23" s="21" t="s">
        <v>270</v>
      </c>
      <c r="C23" s="21" t="s">
        <v>347</v>
      </c>
      <c r="D23" s="21" t="s">
        <v>392</v>
      </c>
      <c r="E23" s="21" t="s">
        <v>393</v>
      </c>
    </row>
  </sheetData>
  <autoFilter ref="A4:E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20"/>
  </cols>
  <sheetData>
    <row r="1" customFormat="false" ht="17.35" hidden="false" customHeight="false" outlineLevel="0" collapsed="false">
      <c r="A1" s="1" t="s">
        <v>394</v>
      </c>
    </row>
    <row r="3" customFormat="false" ht="30" hidden="false" customHeight="true" outlineLevel="0" collapsed="false">
      <c r="A3" s="5" t="s">
        <v>261</v>
      </c>
      <c r="B3" s="5" t="s">
        <v>395</v>
      </c>
      <c r="C3" s="5" t="s">
        <v>396</v>
      </c>
    </row>
    <row r="4" customFormat="false" ht="15" hidden="false" customHeight="false" outlineLevel="0" collapsed="false">
      <c r="A4" s="19" t="n">
        <v>1</v>
      </c>
      <c r="B4" s="41" t="s">
        <v>397</v>
      </c>
      <c r="C4" s="21" t="s">
        <v>398</v>
      </c>
    </row>
    <row r="5" customFormat="false" ht="15" hidden="false" customHeight="false" outlineLevel="0" collapsed="false">
      <c r="A5" s="19" t="n">
        <v>2</v>
      </c>
      <c r="B5" s="41" t="s">
        <v>399</v>
      </c>
      <c r="C5" s="21" t="s">
        <v>400</v>
      </c>
    </row>
    <row r="6" customFormat="false" ht="46.25" hidden="false" customHeight="false" outlineLevel="0" collapsed="false">
      <c r="A6" s="19" t="n">
        <v>3</v>
      </c>
      <c r="B6" s="41" t="s">
        <v>401</v>
      </c>
      <c r="C6" s="21" t="s">
        <v>402</v>
      </c>
    </row>
    <row r="7" customFormat="false" ht="23.85" hidden="false" customHeight="false" outlineLevel="0" collapsed="false">
      <c r="A7" s="19" t="n">
        <v>4</v>
      </c>
      <c r="B7" s="41" t="s">
        <v>403</v>
      </c>
      <c r="C7" s="21" t="s">
        <v>404</v>
      </c>
    </row>
    <row r="8" customFormat="false" ht="15" hidden="false" customHeight="false" outlineLevel="0" collapsed="false">
      <c r="A8" s="19" t="n">
        <v>5</v>
      </c>
      <c r="B8" s="41" t="s">
        <v>405</v>
      </c>
      <c r="C8" s="21" t="s">
        <v>406</v>
      </c>
    </row>
    <row r="9" customFormat="false" ht="15" hidden="false" customHeight="false" outlineLevel="0" collapsed="false">
      <c r="A9" s="19" t="n">
        <v>6</v>
      </c>
      <c r="B9" s="41" t="s">
        <v>407</v>
      </c>
      <c r="C9" s="21" t="s">
        <v>408</v>
      </c>
    </row>
    <row r="10" customFormat="false" ht="23.85" hidden="false" customHeight="false" outlineLevel="0" collapsed="false">
      <c r="A10" s="19" t="n">
        <v>7</v>
      </c>
      <c r="B10" s="41" t="s">
        <v>409</v>
      </c>
      <c r="C10" s="21" t="s">
        <v>410</v>
      </c>
    </row>
    <row r="11" customFormat="false" ht="15" hidden="false" customHeight="false" outlineLevel="0" collapsed="false">
      <c r="A11" s="19" t="n">
        <v>8</v>
      </c>
      <c r="B11" s="41" t="s">
        <v>411</v>
      </c>
      <c r="C11" s="21" t="s">
        <v>412</v>
      </c>
    </row>
    <row r="12" customFormat="false" ht="15" hidden="false" customHeight="false" outlineLevel="0" collapsed="false">
      <c r="A12" s="19" t="n">
        <v>9</v>
      </c>
      <c r="B12" s="41" t="s">
        <v>413</v>
      </c>
      <c r="C12" s="21" t="s">
        <v>414</v>
      </c>
    </row>
    <row r="13" customFormat="false" ht="15" hidden="false" customHeight="false" outlineLevel="0" collapsed="false">
      <c r="A13" s="19" t="n">
        <v>10</v>
      </c>
      <c r="B13" s="41" t="s">
        <v>415</v>
      </c>
      <c r="C13" s="21" t="s">
        <v>416</v>
      </c>
    </row>
    <row r="14" customFormat="false" ht="23.85" hidden="false" customHeight="false" outlineLevel="0" collapsed="false">
      <c r="A14" s="19" t="n">
        <v>11</v>
      </c>
      <c r="B14" s="41" t="s">
        <v>417</v>
      </c>
      <c r="C14" s="21" t="s">
        <v>418</v>
      </c>
    </row>
    <row r="15" customFormat="false" ht="23.85" hidden="false" customHeight="false" outlineLevel="0" collapsed="false">
      <c r="A15" s="19" t="n">
        <v>12</v>
      </c>
      <c r="B15" s="41" t="s">
        <v>419</v>
      </c>
      <c r="C15" s="21" t="s">
        <v>420</v>
      </c>
    </row>
    <row r="16" customFormat="false" ht="35.05" hidden="false" customHeight="false" outlineLevel="0" collapsed="false">
      <c r="A16" s="19" t="n">
        <v>13</v>
      </c>
      <c r="B16" s="41" t="s">
        <v>421</v>
      </c>
      <c r="C16" s="21" t="s">
        <v>422</v>
      </c>
    </row>
    <row r="17" customFormat="false" ht="23.85" hidden="false" customHeight="false" outlineLevel="0" collapsed="false">
      <c r="A17" s="19" t="n">
        <v>14</v>
      </c>
      <c r="B17" s="41" t="s">
        <v>423</v>
      </c>
      <c r="C17" s="21" t="s">
        <v>424</v>
      </c>
    </row>
    <row r="18" customFormat="false" ht="15" hidden="false" customHeight="false" outlineLevel="0" collapsed="false">
      <c r="A18" s="19" t="n">
        <v>15</v>
      </c>
      <c r="B18" s="41" t="s">
        <v>425</v>
      </c>
      <c r="C18" s="21" t="s">
        <v>426</v>
      </c>
    </row>
    <row r="19" customFormat="false" ht="15" hidden="false" customHeight="false" outlineLevel="0" collapsed="false">
      <c r="A19" s="19" t="n">
        <v>16</v>
      </c>
      <c r="B19" s="41" t="s">
        <v>427</v>
      </c>
      <c r="C19" s="21" t="s">
        <v>428</v>
      </c>
    </row>
    <row r="20" customFormat="false" ht="15" hidden="false" customHeight="false" outlineLevel="0" collapsed="false">
      <c r="A20" s="19" t="n">
        <v>17</v>
      </c>
      <c r="B20" s="41" t="s">
        <v>429</v>
      </c>
      <c r="C20" s="21" t="s">
        <v>430</v>
      </c>
    </row>
    <row r="21" customFormat="false" ht="15" hidden="false" customHeight="false" outlineLevel="0" collapsed="false">
      <c r="A21" s="19" t="n">
        <v>18</v>
      </c>
      <c r="B21" s="41" t="s">
        <v>431</v>
      </c>
      <c r="C21" s="21" t="s">
        <v>432</v>
      </c>
    </row>
    <row r="22" customFormat="false" ht="15" hidden="false" customHeight="false" outlineLevel="0" collapsed="false">
      <c r="A22" s="19" t="n">
        <v>19</v>
      </c>
      <c r="B22" s="41" t="s">
        <v>433</v>
      </c>
      <c r="C22" s="21" t="s">
        <v>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2026-10-13T03:38:47Z</dcterms:created>
  <dc:creator>openpyxl</dc:creator>
  <dc:description/>
  <dc:language>en-US</dc:language>
  <cp:lastModifiedBy/>
  <dcterms:modified xsi:type="dcterms:W3CDTF">2026-10-13T03:38:48Z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